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gaur\Passenger_mobility_demand_model\"/>
    </mc:Choice>
  </mc:AlternateContent>
  <xr:revisionPtr revIDLastSave="0" documentId="13_ncr:1_{F4B007CB-8825-49D3-9CEC-CFDF8581E264}" xr6:coauthVersionLast="47" xr6:coauthVersionMax="47" xr10:uidLastSave="{00000000-0000-0000-0000-000000000000}"/>
  <bookViews>
    <workbookView xWindow="-28920" yWindow="225" windowWidth="29040" windowHeight="15720" tabRatio="500" activeTab="1" xr2:uid="{00000000-000D-0000-FFFF-FFFF00000000}"/>
  </bookViews>
  <sheets>
    <sheet name="simple_calc" sheetId="1" r:id="rId1"/>
    <sheet name="India" sheetId="2" r:id="rId2"/>
    <sheet name="Bangladesh" sheetId="3" r:id="rId3"/>
    <sheet name="long_dist" sheetId="4" r:id="rId4"/>
  </sheets>
  <externalReferences>
    <externalReference r:id="rId5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3" i="4" l="1"/>
  <c r="O3" i="2" l="1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2" i="2"/>
  <c r="L22" i="3"/>
  <c r="L20" i="3"/>
  <c r="L19" i="3"/>
  <c r="L18" i="3"/>
  <c r="L15" i="3"/>
  <c r="L14" i="3"/>
  <c r="L12" i="3"/>
  <c r="L11" i="3"/>
  <c r="L10" i="3"/>
  <c r="L7" i="3"/>
  <c r="N7" i="3" s="1"/>
  <c r="L6" i="3"/>
  <c r="N6" i="3" s="1"/>
  <c r="L5" i="3"/>
  <c r="N5" i="3" s="1"/>
  <c r="L3" i="3"/>
  <c r="N3" i="3" s="1"/>
  <c r="P2" i="3"/>
  <c r="L21" i="3" s="1"/>
  <c r="E16" i="2"/>
  <c r="E24" i="2" s="1"/>
  <c r="E32" i="2" s="1"/>
  <c r="E15" i="2"/>
  <c r="E23" i="2" s="1"/>
  <c r="E31" i="2" s="1"/>
  <c r="E14" i="2"/>
  <c r="E22" i="2" s="1"/>
  <c r="E30" i="2" s="1"/>
  <c r="E13" i="2"/>
  <c r="E21" i="2" s="1"/>
  <c r="E29" i="2" s="1"/>
  <c r="E12" i="2"/>
  <c r="E20" i="2" s="1"/>
  <c r="E28" i="2" s="1"/>
  <c r="E11" i="2"/>
  <c r="E19" i="2" s="1"/>
  <c r="E27" i="2" s="1"/>
  <c r="E10" i="2"/>
  <c r="E18" i="2" s="1"/>
  <c r="E26" i="2" s="1"/>
  <c r="Q14" i="1"/>
  <c r="P14" i="1"/>
  <c r="E12" i="1"/>
  <c r="S13" i="1" s="1"/>
  <c r="D12" i="1"/>
  <c r="R14" i="1" s="1"/>
  <c r="C12" i="1"/>
  <c r="Q15" i="1" s="1"/>
  <c r="B12" i="1"/>
  <c r="P15" i="1" s="1"/>
  <c r="Q11" i="1"/>
  <c r="P11" i="1"/>
  <c r="Q10" i="1"/>
  <c r="P10" i="1"/>
  <c r="S6" i="1"/>
  <c r="R6" i="1"/>
  <c r="Q6" i="1"/>
  <c r="Q12" i="1" s="1"/>
  <c r="P6" i="1"/>
  <c r="P12" i="1" s="1"/>
  <c r="V5" i="1"/>
  <c r="V4" i="1"/>
  <c r="V3" i="1"/>
  <c r="V2" i="1"/>
  <c r="S10" i="1" l="1"/>
  <c r="S15" i="1"/>
  <c r="R11" i="1"/>
  <c r="R12" i="1"/>
  <c r="S11" i="1"/>
  <c r="S12" i="1"/>
  <c r="S14" i="1"/>
  <c r="P13" i="1"/>
  <c r="P17" i="1" s="1"/>
  <c r="L4" i="3"/>
  <c r="N4" i="3" s="1"/>
  <c r="L8" i="3"/>
  <c r="L16" i="3"/>
  <c r="Q13" i="1"/>
  <c r="Q17" i="1" s="1"/>
  <c r="L9" i="3"/>
  <c r="L17" i="3"/>
  <c r="R15" i="1"/>
  <c r="L13" i="3"/>
  <c r="R10" i="1"/>
  <c r="R13" i="1"/>
  <c r="S17" i="1" l="1"/>
  <c r="R1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tc={317F4621-391E-4AA6-9634-81FDCB02EC34}</author>
  </authors>
  <commentList>
    <comment ref="N1" authorId="0" shapeId="0" xr:uid="{00000000-0006-0000-0100-000001000000}">
      <text>
        <r>
          <rPr>
            <sz val="11"/>
            <color rgb="FF000000"/>
            <rFont val="Calibri"/>
            <family val="2"/>
            <charset val="1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https://mohua.gov.in/upload/uploadfiles/files/final_Report.pdf</t>
        </r>
      </text>
    </comment>
    <comment ref="O1" authorId="1" shapeId="0" xr:uid="{317F4621-391E-4AA6-9634-81FDCB02EC3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Adjusted to reflect commute and distance category
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" authorId="0" shapeId="0" xr:uid="{00000000-0006-0000-0200-000001000000}">
      <text>
        <r>
          <rPr>
            <sz val="11"/>
            <color rgb="FF000000"/>
            <rFont val="Calibri"/>
            <family val="2"/>
            <charset val="1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Average values- figure 1.2-20 from pdf</t>
        </r>
      </text>
    </comment>
    <comment ref="E1" authorId="0" shapeId="0" xr:uid="{00000000-0006-0000-0200-000003000000}">
      <text>
        <r>
          <rPr>
            <sz val="11"/>
            <color rgb="FF000000"/>
            <rFont val="Calibri"/>
            <family val="2"/>
            <charset val="1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"C:\Users\agaur\OneDrive - University College Cork\Internship\IIASA\bangladesh_transport_study.pdf"</t>
        </r>
      </text>
    </comment>
    <comment ref="D25" authorId="0" shapeId="0" xr:uid="{00000000-0006-0000-0200-000002000000}">
      <text>
        <r>
          <rPr>
            <sz val="11"/>
            <color rgb="FF000000"/>
            <rFont val="Calibri"/>
            <family val="2"/>
            <charset val="1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http://railway.portal.gov.bd/sites/default/files/files/railway.portal.gov.bd/page/3951d3b2_dcc8_463d_9657_4e3cc6e49b8b/Information%20Book%202018%20(3).pdf</t>
        </r>
      </text>
    </comment>
  </commentList>
</comments>
</file>

<file path=xl/sharedStrings.xml><?xml version="1.0" encoding="utf-8"?>
<sst xmlns="http://schemas.openxmlformats.org/spreadsheetml/2006/main" count="479" uniqueCount="107">
  <si>
    <t>PDT</t>
  </si>
  <si>
    <t>Mode share</t>
  </si>
  <si>
    <t>LDV occupancy</t>
  </si>
  <si>
    <t>Population groups</t>
  </si>
  <si>
    <t>degree of urbanisation (India)</t>
  </si>
  <si>
    <t>Phenomena</t>
  </si>
  <si>
    <t>BP</t>
  </si>
  <si>
    <t>NP</t>
  </si>
  <si>
    <t>TOD</t>
  </si>
  <si>
    <t>Tech</t>
  </si>
  <si>
    <t>U1</t>
  </si>
  <si>
    <t>Urbanisation</t>
  </si>
  <si>
    <t>MaaS</t>
  </si>
  <si>
    <t xml:space="preserve"> 2W</t>
  </si>
  <si>
    <t>Ride hailing</t>
  </si>
  <si>
    <t>U2</t>
  </si>
  <si>
    <t xml:space="preserve"> BUS</t>
  </si>
  <si>
    <t>Shared mobility</t>
  </si>
  <si>
    <t>U3</t>
  </si>
  <si>
    <t xml:space="preserve"> LDV</t>
  </si>
  <si>
    <t>R</t>
  </si>
  <si>
    <t xml:space="preserve">Digitalisation </t>
  </si>
  <si>
    <t xml:space="preserve"> RAIL</t>
  </si>
  <si>
    <t>Avg occ</t>
  </si>
  <si>
    <t>e-life</t>
  </si>
  <si>
    <t xml:space="preserve"> AIR</t>
  </si>
  <si>
    <t>NMT</t>
  </si>
  <si>
    <t>Total PDT</t>
  </si>
  <si>
    <t>Transit oriented development</t>
  </si>
  <si>
    <t>Public Transport</t>
  </si>
  <si>
    <t>Mode</t>
  </si>
  <si>
    <t>Public transport</t>
  </si>
  <si>
    <t>Higher standard of living</t>
  </si>
  <si>
    <t>Product</t>
  </si>
  <si>
    <t>Vehicle ownership</t>
  </si>
  <si>
    <t>Type</t>
  </si>
  <si>
    <t>Private</t>
  </si>
  <si>
    <t>Total</t>
  </si>
  <si>
    <t>Taxi</t>
  </si>
  <si>
    <t>Policy measures</t>
  </si>
  <si>
    <t>High speed rail</t>
  </si>
  <si>
    <t>LDV type</t>
  </si>
  <si>
    <t>Vehicle choice</t>
  </si>
  <si>
    <t>Environmental awareness</t>
  </si>
  <si>
    <t>NMT infra</t>
  </si>
  <si>
    <t>Mode choice (Beh)</t>
  </si>
  <si>
    <t>Average</t>
  </si>
  <si>
    <t>Country</t>
  </si>
  <si>
    <t>area_type</t>
  </si>
  <si>
    <t>Trip category</t>
  </si>
  <si>
    <t>trip_dist</t>
  </si>
  <si>
    <t>Typical distance</t>
  </si>
  <si>
    <t>trip_share</t>
  </si>
  <si>
    <t>ldv_share</t>
  </si>
  <si>
    <t>bus_share</t>
  </si>
  <si>
    <t>nmt_share</t>
  </si>
  <si>
    <t>tw_share</t>
  </si>
  <si>
    <t>rail_share</t>
  </si>
  <si>
    <t>ipt_share</t>
  </si>
  <si>
    <t>Trip rate</t>
  </si>
  <si>
    <t>trip_rate_adjusted</t>
  </si>
  <si>
    <t>India</t>
  </si>
  <si>
    <t>large_city</t>
  </si>
  <si>
    <t>Commute</t>
  </si>
  <si>
    <t>00_01</t>
  </si>
  <si>
    <t>02_05</t>
  </si>
  <si>
    <t>06_10</t>
  </si>
  <si>
    <t>11_20</t>
  </si>
  <si>
    <t>21_30</t>
  </si>
  <si>
    <t>31_50</t>
  </si>
  <si>
    <t>51+</t>
  </si>
  <si>
    <t>city</t>
  </si>
  <si>
    <t>town</t>
  </si>
  <si>
    <t>rural</t>
  </si>
  <si>
    <t>Area_type</t>
  </si>
  <si>
    <t>Trip distance (km)</t>
  </si>
  <si>
    <t>Trip share</t>
  </si>
  <si>
    <t>Mode Share</t>
  </si>
  <si>
    <t>Population</t>
  </si>
  <si>
    <t>Total Pop</t>
  </si>
  <si>
    <t>Urban_area type</t>
  </si>
  <si>
    <t>Car</t>
  </si>
  <si>
    <t>Bus</t>
  </si>
  <si>
    <t>Autorickshaw</t>
  </si>
  <si>
    <t>Private bus</t>
  </si>
  <si>
    <t>Rickshaw</t>
  </si>
  <si>
    <t>Large cities</t>
  </si>
  <si>
    <t>Bangladesh</t>
  </si>
  <si>
    <t>Home to work</t>
  </si>
  <si>
    <t>Cities</t>
  </si>
  <si>
    <t>Home to school</t>
  </si>
  <si>
    <t>Towns</t>
  </si>
  <si>
    <t>To home</t>
  </si>
  <si>
    <t>NHBB</t>
  </si>
  <si>
    <t>Rural</t>
  </si>
  <si>
    <t>Railway (mpkm)</t>
  </si>
  <si>
    <t>No_travel</t>
  </si>
  <si>
    <t>n</t>
  </si>
  <si>
    <t>mode</t>
  </si>
  <si>
    <t>Pakistan</t>
  </si>
  <si>
    <t>Sri Lanka</t>
  </si>
  <si>
    <t>Nepal</t>
  </si>
  <si>
    <t>Bhutan</t>
  </si>
  <si>
    <t>Afghanistan</t>
  </si>
  <si>
    <t>Maldives</t>
  </si>
  <si>
    <t>value</t>
  </si>
  <si>
    <t>Typical distance_nc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</si>
</sst>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000"/>
    <numFmt numFmtId="166" formatCode="0.0"/>
  </numFmts>
  <fonts count="3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C5E0B4"/>
        <bgColor rgb="FFD9D9D9"/>
      </patternFill>
    </fill>
    <fill>
      <patternFill patternType="solid">
        <fgColor rgb="FFE7E6E6"/>
        <bgColor rgb="FFD9D9D9"/>
      </patternFill>
    </fill>
    <fill>
      <patternFill patternType="solid">
        <fgColor rgb="FFD9D9D9"/>
        <bgColor rgb="FFE7E6E6"/>
      </patternFill>
    </fill>
    <fill>
      <patternFill patternType="solid">
        <fgColor rgb="FFA9D18E"/>
        <bgColor rgb="FFC5E0B4"/>
      </patternFill>
    </fill>
    <fill>
      <patternFill patternType="solid">
        <fgColor rgb="FFFFC000"/>
        <bgColor rgb="FFFF9900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2">
    <xf numFmtId="0" fontId="0" fillId="0" borderId="0"/>
    <xf numFmtId="9" fontId="2" fillId="0" borderId="0" applyBorder="0" applyProtection="0"/>
  </cellStyleXfs>
  <cellXfs count="30">
    <xf numFmtId="0" fontId="0" fillId="0" borderId="0" xfId="0"/>
    <xf numFmtId="0" fontId="1" fillId="2" borderId="0" xfId="0" applyFont="1" applyFill="1"/>
    <xf numFmtId="0" fontId="0" fillId="3" borderId="0" xfId="0" applyFill="1"/>
    <xf numFmtId="164" fontId="0" fillId="0" borderId="0" xfId="0" applyNumberFormat="1"/>
    <xf numFmtId="9" fontId="0" fillId="0" borderId="0" xfId="0" applyNumberFormat="1"/>
    <xf numFmtId="0" fontId="0" fillId="4" borderId="0" xfId="0" applyFill="1"/>
    <xf numFmtId="0" fontId="1" fillId="5" borderId="0" xfId="0" applyFont="1" applyFill="1"/>
    <xf numFmtId="0" fontId="0" fillId="6" borderId="0" xfId="0" applyFill="1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9" fontId="2" fillId="0" borderId="0" xfId="1" applyBorder="1" applyAlignment="1" applyProtection="1">
      <alignment horizontal="center"/>
    </xf>
    <xf numFmtId="165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64" fontId="2" fillId="0" borderId="0" xfId="1" applyNumberFormat="1" applyBorder="1" applyAlignment="1" applyProtection="1">
      <alignment horizontal="center"/>
    </xf>
    <xf numFmtId="10" fontId="0" fillId="0" borderId="0" xfId="0" applyNumberFormat="1"/>
    <xf numFmtId="166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49" fontId="0" fillId="0" borderId="0" xfId="0" applyNumberFormat="1"/>
    <xf numFmtId="9" fontId="2" fillId="0" borderId="0" xfId="1"/>
    <xf numFmtId="0" fontId="0" fillId="0" borderId="0" xfId="0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5E0B4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447840</xdr:colOff>
      <xdr:row>19</xdr:row>
      <xdr:rowOff>114480</xdr:rowOff>
    </xdr:from>
    <xdr:to>
      <xdr:col>23</xdr:col>
      <xdr:colOff>353520</xdr:colOff>
      <xdr:row>32</xdr:row>
      <xdr:rowOff>96480</xdr:rowOff>
    </xdr:to>
    <xdr:pic>
      <xdr:nvPicPr>
        <xdr:cNvPr id="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2459600" y="3552840"/>
          <a:ext cx="7261920" cy="2334960"/>
        </a:xfrm>
        <a:prstGeom prst="rect">
          <a:avLst/>
        </a:prstGeom>
        <a:ln w="0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ccireland-my.sharepoint.com/personal/agaur_ucc_ie/Documents/Internship/IIASA/demand.xlsx" TargetMode="External"/><Relationship Id="rId1" Type="http://schemas.openxmlformats.org/officeDocument/2006/relationships/externalLinkPath" Target="https://uccireland-my.sharepoint.com/personal/agaur_ucc_ie/Documents/Internship/IIASA/deman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imple_calc"/>
      <sheetName val="India"/>
      <sheetName val="Sheet3"/>
      <sheetName val="Bangladesh"/>
      <sheetName val="Sheet2"/>
      <sheetName val="Sheet1"/>
      <sheetName val="comparison"/>
    </sheetNames>
    <sheetDataSet>
      <sheetData sheetId="0"/>
      <sheetData sheetId="1">
        <row r="55">
          <cell r="R55">
            <v>5544.8786666666674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Ankita Gaur" id="{11B3F7A2-9FAD-4562-B5C8-66FFE423C683}" userId="S::agaur@ucc.ie::3580e67a-f771-4f5a-9e69-7c8893871d08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O1" dT="2023-11-01T09:53:20.63" personId="{11B3F7A2-9FAD-4562-B5C8-66FFE423C683}" id="{317F4621-391E-4AA6-9634-81FDCB02EC34}">
    <text xml:space="preserve">Adjusted to reflect commute and distance category
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5"/>
  <sheetViews>
    <sheetView zoomScaleNormal="100" workbookViewId="0">
      <selection activeCell="B3" activeCellId="1" sqref="D26:D33 B3"/>
    </sheetView>
  </sheetViews>
  <sheetFormatPr defaultColWidth="8.5703125" defaultRowHeight="15" x14ac:dyDescent="0.25"/>
  <cols>
    <col min="1" max="1" width="25.7109375" customWidth="1"/>
    <col min="2" max="2" width="10.5703125" customWidth="1"/>
    <col min="8" max="8" width="17" customWidth="1"/>
    <col min="9" max="9" width="10.85546875" customWidth="1"/>
    <col min="15" max="15" width="23.140625" customWidth="1"/>
  </cols>
  <sheetData>
    <row r="1" spans="1:24" x14ac:dyDescent="0.25">
      <c r="A1" s="1" t="s">
        <v>0</v>
      </c>
      <c r="H1" s="1" t="s">
        <v>1</v>
      </c>
      <c r="O1" s="1" t="s">
        <v>2</v>
      </c>
      <c r="U1" t="s">
        <v>3</v>
      </c>
      <c r="X1" t="s">
        <v>4</v>
      </c>
    </row>
    <row r="2" spans="1:24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H2" s="2" t="s">
        <v>5</v>
      </c>
      <c r="I2" s="2" t="s">
        <v>1</v>
      </c>
      <c r="J2" s="2" t="s">
        <v>6</v>
      </c>
      <c r="K2" s="2" t="s">
        <v>7</v>
      </c>
      <c r="L2" s="2" t="s">
        <v>8</v>
      </c>
      <c r="M2" s="2" t="s">
        <v>9</v>
      </c>
      <c r="O2" s="2" t="s">
        <v>5</v>
      </c>
      <c r="P2" s="2" t="s">
        <v>6</v>
      </c>
      <c r="Q2" s="2" t="s">
        <v>7</v>
      </c>
      <c r="R2" s="2" t="s">
        <v>8</v>
      </c>
      <c r="S2" s="2" t="s">
        <v>9</v>
      </c>
      <c r="U2" t="s">
        <v>10</v>
      </c>
      <c r="V2" s="3">
        <f>X2*45%</f>
        <v>0.15300000000000002</v>
      </c>
      <c r="X2" s="4">
        <v>0.34</v>
      </c>
    </row>
    <row r="3" spans="1:24" x14ac:dyDescent="0.25">
      <c r="A3" t="s">
        <v>11</v>
      </c>
      <c r="B3">
        <v>1</v>
      </c>
      <c r="C3">
        <v>1</v>
      </c>
      <c r="D3">
        <v>0.8</v>
      </c>
      <c r="E3">
        <v>1</v>
      </c>
      <c r="H3" t="s">
        <v>12</v>
      </c>
      <c r="I3" t="s">
        <v>13</v>
      </c>
      <c r="J3">
        <v>1</v>
      </c>
      <c r="K3">
        <v>1</v>
      </c>
      <c r="L3">
        <v>1.1000000000000001</v>
      </c>
      <c r="M3">
        <v>1.1000000000000001</v>
      </c>
      <c r="O3" t="s">
        <v>14</v>
      </c>
      <c r="P3">
        <v>0.8</v>
      </c>
      <c r="Q3">
        <v>1</v>
      </c>
      <c r="R3">
        <v>1</v>
      </c>
      <c r="S3">
        <v>0.8</v>
      </c>
      <c r="U3" t="s">
        <v>15</v>
      </c>
      <c r="V3" s="3">
        <f>X2*35%</f>
        <v>0.11899999999999999</v>
      </c>
    </row>
    <row r="4" spans="1:24" x14ac:dyDescent="0.25">
      <c r="A4" t="s">
        <v>14</v>
      </c>
      <c r="B4">
        <v>1.2</v>
      </c>
      <c r="C4">
        <v>1</v>
      </c>
      <c r="D4">
        <v>1</v>
      </c>
      <c r="E4">
        <v>1.2</v>
      </c>
      <c r="H4" t="s">
        <v>12</v>
      </c>
      <c r="I4" t="s">
        <v>16</v>
      </c>
      <c r="J4">
        <v>1</v>
      </c>
      <c r="K4">
        <v>1</v>
      </c>
      <c r="L4">
        <v>1.2</v>
      </c>
      <c r="M4">
        <v>1.2</v>
      </c>
      <c r="O4" t="s">
        <v>17</v>
      </c>
      <c r="P4">
        <v>1.2</v>
      </c>
      <c r="Q4">
        <v>1</v>
      </c>
      <c r="R4">
        <v>1</v>
      </c>
      <c r="S4">
        <v>1.2</v>
      </c>
      <c r="U4" t="s">
        <v>18</v>
      </c>
      <c r="V4" s="4">
        <f>X2-(V3+V2)</f>
        <v>6.8000000000000005E-2</v>
      </c>
    </row>
    <row r="5" spans="1:24" x14ac:dyDescent="0.25">
      <c r="A5" t="s">
        <v>17</v>
      </c>
      <c r="B5">
        <v>0.9</v>
      </c>
      <c r="C5">
        <v>1</v>
      </c>
      <c r="D5">
        <v>1</v>
      </c>
      <c r="E5">
        <v>0.9</v>
      </c>
      <c r="H5" t="s">
        <v>12</v>
      </c>
      <c r="I5" t="s">
        <v>19</v>
      </c>
      <c r="J5">
        <v>1</v>
      </c>
      <c r="K5">
        <v>1</v>
      </c>
      <c r="L5">
        <v>0.5</v>
      </c>
      <c r="M5">
        <v>0.5</v>
      </c>
      <c r="O5" t="s">
        <v>12</v>
      </c>
      <c r="P5">
        <v>1</v>
      </c>
      <c r="Q5">
        <v>1</v>
      </c>
      <c r="R5">
        <v>1.2</v>
      </c>
      <c r="S5">
        <v>1.2</v>
      </c>
      <c r="U5" t="s">
        <v>20</v>
      </c>
      <c r="V5" s="4">
        <f>100%-X2</f>
        <v>0.65999999999999992</v>
      </c>
    </row>
    <row r="6" spans="1:24" x14ac:dyDescent="0.25">
      <c r="A6" t="s">
        <v>21</v>
      </c>
      <c r="B6">
        <v>1</v>
      </c>
      <c r="C6">
        <v>1</v>
      </c>
      <c r="D6">
        <v>1</v>
      </c>
      <c r="E6">
        <v>1</v>
      </c>
      <c r="H6" t="s">
        <v>12</v>
      </c>
      <c r="I6" t="s">
        <v>22</v>
      </c>
      <c r="J6">
        <v>1</v>
      </c>
      <c r="K6">
        <v>1</v>
      </c>
      <c r="L6">
        <v>1.2</v>
      </c>
      <c r="M6">
        <v>1.2</v>
      </c>
      <c r="O6" t="s">
        <v>23</v>
      </c>
      <c r="P6">
        <f>PRODUCT(P3:P5)</f>
        <v>0.96</v>
      </c>
      <c r="Q6">
        <f>PRODUCT(Q3:Q5)</f>
        <v>1</v>
      </c>
      <c r="R6">
        <f>PRODUCT(R3:R5)</f>
        <v>1.2</v>
      </c>
      <c r="S6">
        <f>PRODUCT(S3:S5)</f>
        <v>1.1519999999999999</v>
      </c>
    </row>
    <row r="7" spans="1:24" x14ac:dyDescent="0.25">
      <c r="A7" t="s">
        <v>24</v>
      </c>
      <c r="B7">
        <v>1</v>
      </c>
      <c r="C7">
        <v>1</v>
      </c>
      <c r="D7">
        <v>1</v>
      </c>
      <c r="E7">
        <v>0.8</v>
      </c>
      <c r="H7" t="s">
        <v>12</v>
      </c>
      <c r="I7" t="s">
        <v>25</v>
      </c>
      <c r="J7">
        <v>1</v>
      </c>
      <c r="K7">
        <v>1</v>
      </c>
      <c r="L7">
        <v>1</v>
      </c>
      <c r="M7">
        <v>1</v>
      </c>
    </row>
    <row r="8" spans="1:24" x14ac:dyDescent="0.25">
      <c r="A8" t="s">
        <v>12</v>
      </c>
      <c r="B8">
        <v>1</v>
      </c>
      <c r="C8">
        <v>1</v>
      </c>
      <c r="D8">
        <v>1.1000000000000001</v>
      </c>
      <c r="E8">
        <v>1.1000000000000001</v>
      </c>
      <c r="H8" t="s">
        <v>12</v>
      </c>
      <c r="I8" t="s">
        <v>26</v>
      </c>
      <c r="J8">
        <v>1</v>
      </c>
      <c r="K8">
        <v>1</v>
      </c>
      <c r="L8">
        <v>1</v>
      </c>
      <c r="M8">
        <v>1</v>
      </c>
      <c r="O8" s="1" t="s">
        <v>27</v>
      </c>
    </row>
    <row r="9" spans="1:24" x14ac:dyDescent="0.25">
      <c r="A9" t="s">
        <v>28</v>
      </c>
      <c r="B9">
        <v>0.85</v>
      </c>
      <c r="C9">
        <v>0.85</v>
      </c>
      <c r="D9">
        <v>0.85</v>
      </c>
      <c r="E9">
        <v>1</v>
      </c>
      <c r="H9" t="s">
        <v>29</v>
      </c>
      <c r="I9" t="s">
        <v>13</v>
      </c>
      <c r="J9">
        <v>0.75</v>
      </c>
      <c r="K9">
        <v>0.75</v>
      </c>
      <c r="L9">
        <v>0.75</v>
      </c>
      <c r="M9">
        <v>0.75</v>
      </c>
      <c r="O9" s="5" t="s">
        <v>30</v>
      </c>
      <c r="P9" s="5" t="s">
        <v>6</v>
      </c>
      <c r="Q9" s="5" t="s">
        <v>7</v>
      </c>
      <c r="R9" s="5" t="s">
        <v>8</v>
      </c>
      <c r="S9" s="5" t="s">
        <v>9</v>
      </c>
    </row>
    <row r="10" spans="1:24" x14ac:dyDescent="0.25">
      <c r="A10" t="s">
        <v>31</v>
      </c>
      <c r="B10">
        <v>0.9</v>
      </c>
      <c r="C10">
        <v>0.9</v>
      </c>
      <c r="D10">
        <v>0.9</v>
      </c>
      <c r="E10">
        <v>0.9</v>
      </c>
      <c r="H10" t="s">
        <v>29</v>
      </c>
      <c r="I10" t="s">
        <v>16</v>
      </c>
      <c r="J10">
        <v>1.35</v>
      </c>
      <c r="K10">
        <v>1.35</v>
      </c>
      <c r="L10">
        <v>1.35</v>
      </c>
      <c r="M10">
        <v>1.35</v>
      </c>
      <c r="O10" t="s">
        <v>13</v>
      </c>
      <c r="P10">
        <f t="shared" ref="P10:S11" si="0">J40*B$12/6</f>
        <v>0.14871599999999999</v>
      </c>
      <c r="Q10">
        <f t="shared" si="0"/>
        <v>0.13769999999999999</v>
      </c>
      <c r="R10">
        <f t="shared" si="0"/>
        <v>0.12342000000000004</v>
      </c>
      <c r="S10">
        <f t="shared" si="0"/>
        <v>0.1667952</v>
      </c>
    </row>
    <row r="11" spans="1:24" x14ac:dyDescent="0.25">
      <c r="A11" t="s">
        <v>32</v>
      </c>
      <c r="B11">
        <v>1.2</v>
      </c>
      <c r="C11">
        <v>1.2</v>
      </c>
      <c r="D11">
        <v>1.2</v>
      </c>
      <c r="E11">
        <v>1.2</v>
      </c>
      <c r="H11" t="s">
        <v>29</v>
      </c>
      <c r="I11" t="s">
        <v>19</v>
      </c>
      <c r="J11">
        <v>0.75</v>
      </c>
      <c r="K11">
        <v>0.75</v>
      </c>
      <c r="L11">
        <v>0.75</v>
      </c>
      <c r="M11">
        <v>0.75</v>
      </c>
      <c r="O11" t="s">
        <v>16</v>
      </c>
      <c r="P11">
        <f t="shared" si="0"/>
        <v>0.17900999999999945</v>
      </c>
      <c r="Q11">
        <f t="shared" si="0"/>
        <v>0.16957499999999948</v>
      </c>
      <c r="R11">
        <f t="shared" si="0"/>
        <v>0.15371400000000046</v>
      </c>
      <c r="S11">
        <f t="shared" si="0"/>
        <v>0.18105119999999944</v>
      </c>
    </row>
    <row r="12" spans="1:24" x14ac:dyDescent="0.25">
      <c r="A12" t="s">
        <v>33</v>
      </c>
      <c r="B12">
        <f>PRODUCT(B3:B11)</f>
        <v>0.99143999999999999</v>
      </c>
      <c r="C12">
        <f>PRODUCT(C3:C11)</f>
        <v>0.91799999999999993</v>
      </c>
      <c r="D12">
        <f>PRODUCT(D3:D11)</f>
        <v>0.80784000000000011</v>
      </c>
      <c r="E12">
        <f>PRODUCT(E3:E11)</f>
        <v>1.026432</v>
      </c>
      <c r="H12" t="s">
        <v>29</v>
      </c>
      <c r="I12" t="s">
        <v>22</v>
      </c>
      <c r="J12">
        <v>1.25</v>
      </c>
      <c r="K12">
        <v>1.25</v>
      </c>
      <c r="L12">
        <v>1.25</v>
      </c>
      <c r="M12">
        <v>1.25</v>
      </c>
      <c r="O12" t="s">
        <v>19</v>
      </c>
      <c r="P12">
        <f>J42*B$12/6/P6</f>
        <v>0.13770000000000002</v>
      </c>
      <c r="Q12">
        <f>K42*C$12/6/Q6</f>
        <v>0.12749999999999995</v>
      </c>
      <c r="R12">
        <f>L42*D$12/6/R6</f>
        <v>8.4150000000000016E-2</v>
      </c>
      <c r="S12">
        <f>M42*E$12/6/S6</f>
        <v>0.12251250000000001</v>
      </c>
    </row>
    <row r="13" spans="1:24" x14ac:dyDescent="0.25">
      <c r="H13" t="s">
        <v>29</v>
      </c>
      <c r="I13" t="s">
        <v>25</v>
      </c>
      <c r="J13">
        <v>1</v>
      </c>
      <c r="K13">
        <v>1</v>
      </c>
      <c r="L13">
        <v>1</v>
      </c>
      <c r="M13">
        <v>1</v>
      </c>
      <c r="O13" t="s">
        <v>22</v>
      </c>
      <c r="P13">
        <f t="shared" ref="P13:S15" si="1">J43*B$12/6</f>
        <v>0.18727199999999944</v>
      </c>
      <c r="Q13">
        <f t="shared" si="1"/>
        <v>0.16447499999999998</v>
      </c>
      <c r="R13">
        <f t="shared" si="1"/>
        <v>0.14922599999999958</v>
      </c>
      <c r="S13">
        <f t="shared" si="1"/>
        <v>0.19815839999999943</v>
      </c>
    </row>
    <row r="14" spans="1:24" x14ac:dyDescent="0.25">
      <c r="H14" t="s">
        <v>29</v>
      </c>
      <c r="I14" t="s">
        <v>26</v>
      </c>
      <c r="J14">
        <v>0.9</v>
      </c>
      <c r="K14">
        <v>0.9</v>
      </c>
      <c r="L14">
        <v>0.9</v>
      </c>
      <c r="M14">
        <v>0.9</v>
      </c>
      <c r="O14" t="s">
        <v>25</v>
      </c>
      <c r="P14">
        <f t="shared" si="1"/>
        <v>0.16524</v>
      </c>
      <c r="Q14">
        <f t="shared" si="1"/>
        <v>0.153</v>
      </c>
      <c r="R14">
        <f t="shared" si="1"/>
        <v>0.13464000000000001</v>
      </c>
      <c r="S14">
        <f t="shared" si="1"/>
        <v>0.171072</v>
      </c>
    </row>
    <row r="15" spans="1:24" x14ac:dyDescent="0.25">
      <c r="A15" s="6" t="s">
        <v>34</v>
      </c>
      <c r="H15" t="s">
        <v>8</v>
      </c>
      <c r="I15" t="s">
        <v>13</v>
      </c>
      <c r="J15">
        <v>0.75</v>
      </c>
      <c r="K15">
        <v>0.75</v>
      </c>
      <c r="L15">
        <v>0.75</v>
      </c>
      <c r="M15">
        <v>1</v>
      </c>
      <c r="O15" t="s">
        <v>26</v>
      </c>
      <c r="P15">
        <f t="shared" si="1"/>
        <v>0.17900999999999945</v>
      </c>
      <c r="Q15">
        <f t="shared" si="1"/>
        <v>0.16574999999999948</v>
      </c>
      <c r="R15">
        <f t="shared" si="1"/>
        <v>0.14585999999999957</v>
      </c>
      <c r="S15">
        <f t="shared" si="1"/>
        <v>0.16822079999999995</v>
      </c>
    </row>
    <row r="16" spans="1:24" x14ac:dyDescent="0.25">
      <c r="A16" s="5" t="s">
        <v>5</v>
      </c>
      <c r="B16" s="5" t="s">
        <v>35</v>
      </c>
      <c r="C16" s="5" t="s">
        <v>6</v>
      </c>
      <c r="D16" s="5" t="s">
        <v>7</v>
      </c>
      <c r="E16" s="5" t="s">
        <v>8</v>
      </c>
      <c r="F16" s="5" t="s">
        <v>9</v>
      </c>
      <c r="H16" t="s">
        <v>8</v>
      </c>
      <c r="I16" t="s">
        <v>16</v>
      </c>
      <c r="J16">
        <v>1.2</v>
      </c>
      <c r="K16">
        <v>1.2</v>
      </c>
      <c r="L16">
        <v>1.2</v>
      </c>
      <c r="M16">
        <v>1</v>
      </c>
    </row>
    <row r="17" spans="1:19" x14ac:dyDescent="0.25">
      <c r="A17" s="24" t="s">
        <v>14</v>
      </c>
      <c r="B17" t="s">
        <v>36</v>
      </c>
      <c r="H17" t="s">
        <v>8</v>
      </c>
      <c r="I17" t="s">
        <v>19</v>
      </c>
      <c r="J17">
        <v>0.65</v>
      </c>
      <c r="K17">
        <v>0.65</v>
      </c>
      <c r="L17">
        <v>0.65</v>
      </c>
      <c r="M17">
        <v>1</v>
      </c>
      <c r="O17" s="7" t="s">
        <v>37</v>
      </c>
      <c r="P17" s="7">
        <f>SUM(P10:P15)</f>
        <v>0.99694799999999839</v>
      </c>
      <c r="Q17" s="7">
        <f>SUM(Q10:Q15)</f>
        <v>0.91799999999999893</v>
      </c>
      <c r="R17" s="7">
        <f>SUM(R10:R15)</f>
        <v>0.79100999999999955</v>
      </c>
      <c r="S17" s="7">
        <f>SUM(S10:S15)</f>
        <v>1.0078100999999988</v>
      </c>
    </row>
    <row r="18" spans="1:19" x14ac:dyDescent="0.25">
      <c r="A18" s="24"/>
      <c r="B18" t="s">
        <v>38</v>
      </c>
      <c r="H18" t="s">
        <v>8</v>
      </c>
      <c r="I18" t="s">
        <v>22</v>
      </c>
      <c r="J18">
        <v>1.2</v>
      </c>
      <c r="K18">
        <v>1.2</v>
      </c>
      <c r="L18">
        <v>1.2</v>
      </c>
      <c r="M18">
        <v>1</v>
      </c>
    </row>
    <row r="19" spans="1:19" x14ac:dyDescent="0.25">
      <c r="A19" s="24" t="s">
        <v>8</v>
      </c>
      <c r="B19" t="s">
        <v>36</v>
      </c>
      <c r="H19" t="s">
        <v>8</v>
      </c>
      <c r="I19" t="s">
        <v>25</v>
      </c>
      <c r="J19">
        <v>1</v>
      </c>
      <c r="K19">
        <v>1</v>
      </c>
      <c r="L19">
        <v>1</v>
      </c>
      <c r="M19">
        <v>1</v>
      </c>
    </row>
    <row r="20" spans="1:19" x14ac:dyDescent="0.25">
      <c r="A20" s="24"/>
      <c r="B20" t="s">
        <v>38</v>
      </c>
      <c r="H20" t="s">
        <v>8</v>
      </c>
      <c r="I20" t="s">
        <v>26</v>
      </c>
      <c r="J20">
        <v>1.2</v>
      </c>
      <c r="K20">
        <v>1.2</v>
      </c>
      <c r="L20">
        <v>1.2</v>
      </c>
      <c r="M20">
        <v>1</v>
      </c>
    </row>
    <row r="21" spans="1:19" x14ac:dyDescent="0.25">
      <c r="A21" s="24" t="s">
        <v>39</v>
      </c>
      <c r="B21" t="s">
        <v>36</v>
      </c>
      <c r="H21" t="s">
        <v>40</v>
      </c>
      <c r="I21" t="s">
        <v>13</v>
      </c>
      <c r="J21">
        <v>1</v>
      </c>
      <c r="K21">
        <v>1</v>
      </c>
      <c r="L21">
        <v>1</v>
      </c>
      <c r="M21">
        <v>1</v>
      </c>
    </row>
    <row r="22" spans="1:19" x14ac:dyDescent="0.25">
      <c r="A22" s="24"/>
      <c r="B22" t="s">
        <v>38</v>
      </c>
      <c r="H22" t="s">
        <v>40</v>
      </c>
      <c r="I22" t="s">
        <v>16</v>
      </c>
      <c r="J22">
        <v>0.85</v>
      </c>
      <c r="K22">
        <v>1</v>
      </c>
      <c r="L22">
        <v>1</v>
      </c>
      <c r="M22">
        <v>0.8</v>
      </c>
    </row>
    <row r="23" spans="1:19" x14ac:dyDescent="0.25">
      <c r="H23" t="s">
        <v>40</v>
      </c>
      <c r="I23" t="s">
        <v>19</v>
      </c>
      <c r="J23">
        <v>0.8</v>
      </c>
      <c r="K23">
        <v>1</v>
      </c>
      <c r="L23">
        <v>1</v>
      </c>
      <c r="M23">
        <v>0.7</v>
      </c>
    </row>
    <row r="24" spans="1:19" x14ac:dyDescent="0.25">
      <c r="A24" s="6" t="s">
        <v>41</v>
      </c>
      <c r="H24" t="s">
        <v>40</v>
      </c>
      <c r="I24" t="s">
        <v>22</v>
      </c>
      <c r="J24">
        <v>1.35</v>
      </c>
      <c r="K24">
        <v>1</v>
      </c>
      <c r="L24">
        <v>1</v>
      </c>
      <c r="M24">
        <v>1.5</v>
      </c>
    </row>
    <row r="25" spans="1:19" x14ac:dyDescent="0.25">
      <c r="A25" s="5" t="s">
        <v>5</v>
      </c>
      <c r="B25" s="5" t="s">
        <v>6</v>
      </c>
      <c r="C25" s="5" t="s">
        <v>7</v>
      </c>
      <c r="D25" s="5" t="s">
        <v>8</v>
      </c>
      <c r="E25" s="5" t="s">
        <v>9</v>
      </c>
      <c r="H25" t="s">
        <v>40</v>
      </c>
      <c r="I25" t="s">
        <v>25</v>
      </c>
      <c r="J25">
        <v>1</v>
      </c>
      <c r="K25">
        <v>1</v>
      </c>
      <c r="L25">
        <v>1</v>
      </c>
      <c r="M25">
        <v>1</v>
      </c>
    </row>
    <row r="26" spans="1:19" x14ac:dyDescent="0.25">
      <c r="A26" t="s">
        <v>42</v>
      </c>
      <c r="H26" t="s">
        <v>40</v>
      </c>
      <c r="I26" t="s">
        <v>26</v>
      </c>
      <c r="J26">
        <v>1</v>
      </c>
      <c r="K26">
        <v>1</v>
      </c>
      <c r="L26">
        <v>1</v>
      </c>
      <c r="M26">
        <v>1</v>
      </c>
    </row>
    <row r="27" spans="1:19" x14ac:dyDescent="0.25">
      <c r="A27" t="s">
        <v>43</v>
      </c>
      <c r="H27" t="s">
        <v>44</v>
      </c>
      <c r="I27" t="s">
        <v>13</v>
      </c>
      <c r="J27">
        <v>0.9</v>
      </c>
      <c r="K27">
        <v>0.9</v>
      </c>
      <c r="L27">
        <v>0.9</v>
      </c>
      <c r="M27">
        <v>1</v>
      </c>
    </row>
    <row r="28" spans="1:19" x14ac:dyDescent="0.25">
      <c r="H28" t="s">
        <v>44</v>
      </c>
      <c r="I28" t="s">
        <v>16</v>
      </c>
      <c r="J28">
        <v>1</v>
      </c>
      <c r="K28">
        <v>1</v>
      </c>
      <c r="L28">
        <v>1</v>
      </c>
      <c r="M28">
        <v>1</v>
      </c>
    </row>
    <row r="29" spans="1:19" x14ac:dyDescent="0.25">
      <c r="H29" t="s">
        <v>44</v>
      </c>
      <c r="I29" t="s">
        <v>19</v>
      </c>
      <c r="J29">
        <v>0.8</v>
      </c>
      <c r="K29">
        <v>0.8</v>
      </c>
      <c r="L29">
        <v>0.8</v>
      </c>
      <c r="M29">
        <v>1</v>
      </c>
    </row>
    <row r="30" spans="1:19" x14ac:dyDescent="0.25">
      <c r="H30" t="s">
        <v>44</v>
      </c>
      <c r="I30" t="s">
        <v>22</v>
      </c>
      <c r="J30">
        <v>1</v>
      </c>
      <c r="K30">
        <v>1</v>
      </c>
      <c r="L30">
        <v>1</v>
      </c>
      <c r="M30">
        <v>1</v>
      </c>
    </row>
    <row r="31" spans="1:19" x14ac:dyDescent="0.25">
      <c r="H31" t="s">
        <v>44</v>
      </c>
      <c r="I31" t="s">
        <v>25</v>
      </c>
      <c r="J31">
        <v>1</v>
      </c>
      <c r="K31">
        <v>1</v>
      </c>
      <c r="L31">
        <v>1</v>
      </c>
      <c r="M31">
        <v>1</v>
      </c>
    </row>
    <row r="32" spans="1:19" x14ac:dyDescent="0.25">
      <c r="H32" t="s">
        <v>44</v>
      </c>
      <c r="I32" t="s">
        <v>26</v>
      </c>
      <c r="J32">
        <v>1.3</v>
      </c>
      <c r="K32">
        <v>1.3</v>
      </c>
      <c r="L32">
        <v>1.3</v>
      </c>
      <c r="M32">
        <v>1</v>
      </c>
    </row>
    <row r="33" spans="8:13" x14ac:dyDescent="0.25">
      <c r="H33" t="s">
        <v>45</v>
      </c>
      <c r="I33" t="s">
        <v>13</v>
      </c>
      <c r="J33">
        <v>1</v>
      </c>
      <c r="K33">
        <v>1</v>
      </c>
      <c r="L33">
        <v>1</v>
      </c>
      <c r="M33">
        <v>1</v>
      </c>
    </row>
    <row r="34" spans="8:13" x14ac:dyDescent="0.25">
      <c r="H34" t="s">
        <v>45</v>
      </c>
      <c r="I34" t="s">
        <v>16</v>
      </c>
      <c r="J34">
        <v>1.1000000000000001</v>
      </c>
      <c r="K34">
        <v>1.1000000000000001</v>
      </c>
      <c r="L34">
        <v>1.1000000000000001</v>
      </c>
      <c r="M34">
        <v>1</v>
      </c>
    </row>
    <row r="35" spans="8:13" x14ac:dyDescent="0.25">
      <c r="H35" t="s">
        <v>45</v>
      </c>
      <c r="I35" t="s">
        <v>19</v>
      </c>
      <c r="J35">
        <v>0.8</v>
      </c>
      <c r="K35">
        <v>0.8</v>
      </c>
      <c r="L35">
        <v>0.8</v>
      </c>
      <c r="M35">
        <v>1</v>
      </c>
    </row>
    <row r="36" spans="8:13" x14ac:dyDescent="0.25">
      <c r="H36" t="s">
        <v>45</v>
      </c>
      <c r="I36" t="s">
        <v>22</v>
      </c>
      <c r="J36">
        <v>1</v>
      </c>
      <c r="K36">
        <v>1</v>
      </c>
      <c r="L36">
        <v>1</v>
      </c>
      <c r="M36">
        <v>1</v>
      </c>
    </row>
    <row r="37" spans="8:13" x14ac:dyDescent="0.25">
      <c r="H37" t="s">
        <v>45</v>
      </c>
      <c r="I37" t="s">
        <v>25</v>
      </c>
      <c r="J37">
        <v>1</v>
      </c>
      <c r="K37">
        <v>1</v>
      </c>
      <c r="L37">
        <v>1</v>
      </c>
      <c r="M37">
        <v>1</v>
      </c>
    </row>
    <row r="38" spans="8:13" x14ac:dyDescent="0.25">
      <c r="H38" t="s">
        <v>45</v>
      </c>
      <c r="I38" t="s">
        <v>26</v>
      </c>
      <c r="J38">
        <v>1.1000000000000001</v>
      </c>
      <c r="K38">
        <v>1.1000000000000001</v>
      </c>
      <c r="L38">
        <v>1.1000000000000001</v>
      </c>
      <c r="M38">
        <v>1</v>
      </c>
    </row>
    <row r="40" spans="8:13" x14ac:dyDescent="0.25">
      <c r="H40" t="s">
        <v>46</v>
      </c>
      <c r="I40" s="7" t="s">
        <v>13</v>
      </c>
      <c r="J40">
        <v>0.9</v>
      </c>
      <c r="K40">
        <v>0.9</v>
      </c>
      <c r="L40">
        <v>0.91666666666666696</v>
      </c>
      <c r="M40">
        <v>0.97499999999999998</v>
      </c>
    </row>
    <row r="41" spans="8:13" x14ac:dyDescent="0.25">
      <c r="I41" s="7" t="s">
        <v>16</v>
      </c>
      <c r="J41">
        <v>1.0833333333333299</v>
      </c>
      <c r="K41">
        <v>1.1083333333333301</v>
      </c>
      <c r="L41">
        <v>1.1416666666666699</v>
      </c>
      <c r="M41">
        <v>1.05833333333333</v>
      </c>
    </row>
    <row r="42" spans="8:13" x14ac:dyDescent="0.25">
      <c r="I42" s="7" t="s">
        <v>19</v>
      </c>
      <c r="J42">
        <v>0.8</v>
      </c>
      <c r="K42">
        <v>0.83333333333333304</v>
      </c>
      <c r="L42">
        <v>0.75</v>
      </c>
      <c r="M42">
        <v>0.82499999999999996</v>
      </c>
    </row>
    <row r="43" spans="8:13" x14ac:dyDescent="0.25">
      <c r="I43" s="7" t="s">
        <v>22</v>
      </c>
      <c r="J43">
        <v>1.13333333333333</v>
      </c>
      <c r="K43">
        <v>1.075</v>
      </c>
      <c r="L43">
        <v>1.1083333333333301</v>
      </c>
      <c r="M43">
        <v>1.1583333333333301</v>
      </c>
    </row>
    <row r="44" spans="8:13" x14ac:dyDescent="0.25">
      <c r="I44" s="7" t="s">
        <v>25</v>
      </c>
      <c r="J44">
        <v>1</v>
      </c>
      <c r="K44">
        <v>1</v>
      </c>
      <c r="L44">
        <v>1</v>
      </c>
      <c r="M44">
        <v>1</v>
      </c>
    </row>
    <row r="45" spans="8:13" x14ac:dyDescent="0.25">
      <c r="I45" s="7" t="s">
        <v>26</v>
      </c>
      <c r="J45">
        <v>1.0833333333333299</v>
      </c>
      <c r="K45">
        <v>1.0833333333333299</v>
      </c>
      <c r="L45">
        <v>1.0833333333333299</v>
      </c>
      <c r="M45">
        <v>0.98333333333333295</v>
      </c>
    </row>
  </sheetData>
  <mergeCells count="3">
    <mergeCell ref="A17:A18"/>
    <mergeCell ref="A19:A20"/>
    <mergeCell ref="A21:A22"/>
  </mergeCells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3"/>
  <sheetViews>
    <sheetView tabSelected="1" zoomScale="90" zoomScaleNormal="90" workbookViewId="0">
      <selection activeCell="Q11" sqref="Q11"/>
    </sheetView>
  </sheetViews>
  <sheetFormatPr defaultColWidth="8.5703125" defaultRowHeight="15" x14ac:dyDescent="0.25"/>
  <cols>
    <col min="1" max="1" width="10.5703125" customWidth="1"/>
    <col min="2" max="2" width="10.42578125" customWidth="1"/>
    <col min="3" max="3" width="11.85546875" customWidth="1"/>
    <col min="4" max="4" width="16.140625" customWidth="1"/>
    <col min="5" max="5" width="15.5703125" bestFit="1" customWidth="1"/>
    <col min="6" max="6" width="15.5703125" customWidth="1"/>
    <col min="7" max="7" width="9.5703125" customWidth="1"/>
    <col min="8" max="8" width="11.5703125" customWidth="1"/>
    <col min="9" max="9" width="13.42578125" customWidth="1"/>
    <col min="10" max="10" width="10.85546875" customWidth="1"/>
    <col min="11" max="11" width="12.5703125" customWidth="1"/>
    <col min="12" max="12" width="10.140625" customWidth="1"/>
    <col min="13" max="13" width="23.140625" customWidth="1"/>
    <col min="14" max="14" width="14.5703125" customWidth="1"/>
    <col min="15" max="15" width="16.5703125" bestFit="1" customWidth="1"/>
    <col min="16" max="16" width="17" bestFit="1" customWidth="1"/>
    <col min="17" max="17" width="26.140625" bestFit="1" customWidth="1"/>
    <col min="22" max="22" width="22.42578125" bestFit="1" customWidth="1"/>
    <col min="23" max="24" width="23" bestFit="1" customWidth="1"/>
    <col min="26" max="27" width="25" bestFit="1" customWidth="1"/>
    <col min="28" max="28" width="26.140625" bestFit="1" customWidth="1"/>
  </cols>
  <sheetData>
    <row r="1" spans="1:15" ht="14.25" customHeight="1" x14ac:dyDescent="0.25">
      <c r="A1" s="8" t="s">
        <v>47</v>
      </c>
      <c r="B1" s="9" t="s">
        <v>48</v>
      </c>
      <c r="C1" s="9" t="s">
        <v>49</v>
      </c>
      <c r="D1" s="9" t="s">
        <v>50</v>
      </c>
      <c r="E1" s="9" t="s">
        <v>51</v>
      </c>
      <c r="F1" s="9" t="s">
        <v>106</v>
      </c>
      <c r="G1" s="9" t="s">
        <v>52</v>
      </c>
      <c r="H1" s="10" t="s">
        <v>53</v>
      </c>
      <c r="I1" s="10" t="s">
        <v>54</v>
      </c>
      <c r="J1" s="10" t="s">
        <v>55</v>
      </c>
      <c r="K1" s="10" t="s">
        <v>56</v>
      </c>
      <c r="L1" s="10" t="s">
        <v>57</v>
      </c>
      <c r="M1" s="11" t="s">
        <v>58</v>
      </c>
      <c r="N1" s="12" t="s">
        <v>59</v>
      </c>
      <c r="O1" s="13" t="s">
        <v>60</v>
      </c>
    </row>
    <row r="2" spans="1:15" x14ac:dyDescent="0.25">
      <c r="A2" s="14" t="s">
        <v>61</v>
      </c>
      <c r="B2" s="14" t="s">
        <v>62</v>
      </c>
      <c r="C2" s="14" t="s">
        <v>63</v>
      </c>
      <c r="D2" t="s">
        <v>96</v>
      </c>
      <c r="E2" s="14">
        <v>0</v>
      </c>
      <c r="F2" s="14">
        <v>0</v>
      </c>
      <c r="G2" s="15">
        <v>0.18821664909251201</v>
      </c>
      <c r="H2" s="14">
        <v>0</v>
      </c>
      <c r="I2" s="14">
        <v>0</v>
      </c>
      <c r="J2" s="14">
        <v>0</v>
      </c>
      <c r="K2" s="14">
        <v>0</v>
      </c>
      <c r="L2" s="14">
        <v>0</v>
      </c>
      <c r="M2" s="14">
        <v>0</v>
      </c>
      <c r="N2" s="14">
        <v>1.5</v>
      </c>
      <c r="O2" s="16">
        <f>(260/365*N2)</f>
        <v>1.0684931506849313</v>
      </c>
    </row>
    <row r="3" spans="1:15" x14ac:dyDescent="0.25">
      <c r="A3" s="14" t="s">
        <v>61</v>
      </c>
      <c r="B3" s="14" t="s">
        <v>62</v>
      </c>
      <c r="C3" s="14" t="s">
        <v>63</v>
      </c>
      <c r="D3" t="s">
        <v>64</v>
      </c>
      <c r="E3" s="14">
        <v>0.5</v>
      </c>
      <c r="F3" s="14">
        <v>0.5</v>
      </c>
      <c r="G3" s="15">
        <v>0.160579817941501</v>
      </c>
      <c r="H3" s="15">
        <v>2.6365740246856801E-2</v>
      </c>
      <c r="I3" s="15">
        <v>4.3023888334934701E-2</v>
      </c>
      <c r="J3" s="15">
        <v>0.79803114155687305</v>
      </c>
      <c r="K3" s="15">
        <v>9.1829962500002305E-2</v>
      </c>
      <c r="L3" s="15">
        <v>1.4818550499814301E-2</v>
      </c>
      <c r="M3" s="15">
        <v>2.0499155348474601E-2</v>
      </c>
      <c r="N3" s="14">
        <v>1.5</v>
      </c>
      <c r="O3" s="16">
        <f t="shared" ref="O3:O33" si="0">(260/365*N3)</f>
        <v>1.0684931506849313</v>
      </c>
    </row>
    <row r="4" spans="1:15" x14ac:dyDescent="0.25">
      <c r="A4" s="14" t="s">
        <v>61</v>
      </c>
      <c r="B4" s="14" t="s">
        <v>62</v>
      </c>
      <c r="C4" s="14" t="s">
        <v>63</v>
      </c>
      <c r="D4" t="s">
        <v>65</v>
      </c>
      <c r="E4" s="17">
        <v>3.5</v>
      </c>
      <c r="F4" s="17">
        <v>3.5</v>
      </c>
      <c r="G4" s="15">
        <v>0.246012615431391</v>
      </c>
      <c r="H4" s="15">
        <v>6.0754565182454402E-2</v>
      </c>
      <c r="I4" s="15">
        <v>0.18335932947696401</v>
      </c>
      <c r="J4" s="15">
        <v>0.44170968683355999</v>
      </c>
      <c r="K4" s="15">
        <v>0.21809918235390899</v>
      </c>
      <c r="L4" s="15">
        <v>2.8123900052550901E-2</v>
      </c>
      <c r="M4" s="15">
        <v>5.99141683583879E-2</v>
      </c>
      <c r="N4" s="14">
        <v>1.5</v>
      </c>
      <c r="O4" s="16">
        <f t="shared" si="0"/>
        <v>1.0684931506849313</v>
      </c>
    </row>
    <row r="5" spans="1:15" x14ac:dyDescent="0.25">
      <c r="A5" s="14" t="s">
        <v>61</v>
      </c>
      <c r="B5" s="14" t="s">
        <v>62</v>
      </c>
      <c r="C5" s="14" t="s">
        <v>63</v>
      </c>
      <c r="D5" t="s">
        <v>66</v>
      </c>
      <c r="E5" s="14">
        <v>8</v>
      </c>
      <c r="F5" s="14">
        <v>8</v>
      </c>
      <c r="G5" s="15">
        <v>0.18741879318586499</v>
      </c>
      <c r="H5" s="15">
        <v>8.5327383080475605E-2</v>
      </c>
      <c r="I5" s="15">
        <v>0.27789197204420801</v>
      </c>
      <c r="J5" s="15">
        <v>0.28716273820774701</v>
      </c>
      <c r="K5" s="15">
        <v>0.22764991003763799</v>
      </c>
      <c r="L5" s="15">
        <v>6.79782847909738E-2</v>
      </c>
      <c r="M5" s="15">
        <v>4.6885419238194601E-2</v>
      </c>
      <c r="N5" s="14">
        <v>1.5</v>
      </c>
      <c r="O5" s="16">
        <f t="shared" si="0"/>
        <v>1.0684931506849313</v>
      </c>
    </row>
    <row r="6" spans="1:15" x14ac:dyDescent="0.25">
      <c r="A6" s="14" t="s">
        <v>61</v>
      </c>
      <c r="B6" s="14" t="s">
        <v>62</v>
      </c>
      <c r="C6" s="14" t="s">
        <v>63</v>
      </c>
      <c r="D6" t="s">
        <v>67</v>
      </c>
      <c r="E6" s="14">
        <v>15.5</v>
      </c>
      <c r="F6" s="14">
        <v>15.5</v>
      </c>
      <c r="G6" s="15">
        <v>0.11683408957076399</v>
      </c>
      <c r="H6" s="15">
        <v>0.15051308714112199</v>
      </c>
      <c r="I6" s="15">
        <v>0.33337442217198698</v>
      </c>
      <c r="J6" s="15">
        <v>5.3198454679054201E-2</v>
      </c>
      <c r="K6" s="15">
        <v>0.24573634096711999</v>
      </c>
      <c r="L6" s="15">
        <v>0.16605167488054101</v>
      </c>
      <c r="M6" s="15">
        <v>4.0633055304625298E-2</v>
      </c>
      <c r="N6" s="14">
        <v>1.5</v>
      </c>
      <c r="O6" s="16">
        <f t="shared" si="0"/>
        <v>1.0684931506849313</v>
      </c>
    </row>
    <row r="7" spans="1:15" x14ac:dyDescent="0.25">
      <c r="A7" s="14" t="s">
        <v>61</v>
      </c>
      <c r="B7" s="14" t="s">
        <v>62</v>
      </c>
      <c r="C7" s="14" t="s">
        <v>63</v>
      </c>
      <c r="D7" t="s">
        <v>68</v>
      </c>
      <c r="E7" s="14">
        <v>25.5</v>
      </c>
      <c r="F7" s="14">
        <v>25.5</v>
      </c>
      <c r="G7" s="15">
        <v>5.2979087534207103E-2</v>
      </c>
      <c r="H7" s="15">
        <v>0.15709205408832899</v>
      </c>
      <c r="I7" s="15">
        <v>0.257270952131324</v>
      </c>
      <c r="J7" s="15">
        <v>0.126017818840264</v>
      </c>
      <c r="K7" s="15">
        <v>0.15141035296595301</v>
      </c>
      <c r="L7" s="15">
        <v>0.25478835548861001</v>
      </c>
      <c r="M7" s="15">
        <v>4.1221519958062502E-2</v>
      </c>
      <c r="N7" s="14">
        <v>1.5</v>
      </c>
      <c r="O7" s="16">
        <f t="shared" si="0"/>
        <v>1.0684931506849313</v>
      </c>
    </row>
    <row r="8" spans="1:15" x14ac:dyDescent="0.25">
      <c r="A8" s="14" t="s">
        <v>61</v>
      </c>
      <c r="B8" s="14" t="s">
        <v>62</v>
      </c>
      <c r="C8" s="14" t="s">
        <v>63</v>
      </c>
      <c r="D8" t="s">
        <v>69</v>
      </c>
      <c r="E8" s="14">
        <v>40.5</v>
      </c>
      <c r="F8" s="14">
        <v>40.5</v>
      </c>
      <c r="G8" s="15">
        <v>3.3580289166144597E-2</v>
      </c>
      <c r="H8" s="15">
        <v>0.14759604532526699</v>
      </c>
      <c r="I8" s="15">
        <v>0.22002347523813801</v>
      </c>
      <c r="J8" s="15">
        <v>0</v>
      </c>
      <c r="K8" s="15">
        <v>0.12361338088573801</v>
      </c>
      <c r="L8" s="15">
        <v>0.434092366033136</v>
      </c>
      <c r="M8" s="15">
        <v>6.0037921538530901E-2</v>
      </c>
      <c r="N8" s="14">
        <v>1.5</v>
      </c>
      <c r="O8" s="16">
        <f t="shared" si="0"/>
        <v>1.0684931506849313</v>
      </c>
    </row>
    <row r="9" spans="1:15" x14ac:dyDescent="0.25">
      <c r="A9" s="14" t="s">
        <v>61</v>
      </c>
      <c r="B9" s="14" t="s">
        <v>62</v>
      </c>
      <c r="C9" s="14" t="s">
        <v>63</v>
      </c>
      <c r="D9" t="s">
        <v>70</v>
      </c>
      <c r="E9" s="14">
        <v>55</v>
      </c>
      <c r="F9" s="14">
        <v>60</v>
      </c>
      <c r="G9" s="15">
        <v>1.4378658077615699E-2</v>
      </c>
      <c r="H9" s="15">
        <v>9.9907430641511905E-2</v>
      </c>
      <c r="I9" s="15">
        <v>0.18700486463576299</v>
      </c>
      <c r="J9" s="15">
        <v>0</v>
      </c>
      <c r="K9" s="15">
        <v>8.2331904377328693E-2</v>
      </c>
      <c r="L9" s="15">
        <v>0.53343145544756898</v>
      </c>
      <c r="M9" s="15">
        <v>6.8341068532954893E-2</v>
      </c>
      <c r="N9" s="14">
        <v>1.5</v>
      </c>
      <c r="O9" s="16">
        <f t="shared" si="0"/>
        <v>1.0684931506849313</v>
      </c>
    </row>
    <row r="10" spans="1:15" x14ac:dyDescent="0.25">
      <c r="A10" s="14" t="s">
        <v>61</v>
      </c>
      <c r="B10" s="14" t="s">
        <v>71</v>
      </c>
      <c r="C10" s="14" t="s">
        <v>63</v>
      </c>
      <c r="D10" t="s">
        <v>96</v>
      </c>
      <c r="E10" s="14">
        <f t="shared" ref="E10:E16" si="1">E2</f>
        <v>0</v>
      </c>
      <c r="F10" s="14">
        <v>0</v>
      </c>
      <c r="G10" s="15">
        <v>0.24504891777815199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4">
        <v>1.3</v>
      </c>
      <c r="O10" s="16">
        <f t="shared" si="0"/>
        <v>0.92602739726027394</v>
      </c>
    </row>
    <row r="11" spans="1:15" x14ac:dyDescent="0.25">
      <c r="A11" s="14" t="s">
        <v>61</v>
      </c>
      <c r="B11" s="14" t="s">
        <v>71</v>
      </c>
      <c r="C11" s="14" t="s">
        <v>63</v>
      </c>
      <c r="D11" t="s">
        <v>64</v>
      </c>
      <c r="E11" s="14">
        <f t="shared" si="1"/>
        <v>0.5</v>
      </c>
      <c r="F11" s="14">
        <v>0.5</v>
      </c>
      <c r="G11" s="15">
        <v>0.148696165994084</v>
      </c>
      <c r="H11" s="15">
        <v>2.0333765420329698E-2</v>
      </c>
      <c r="I11" s="15">
        <v>2.3655804540991501E-2</v>
      </c>
      <c r="J11" s="15">
        <v>0.78426613119945698</v>
      </c>
      <c r="K11" s="15">
        <v>0.14143918779263001</v>
      </c>
      <c r="L11" s="15">
        <v>5.3248128891353504E-3</v>
      </c>
      <c r="M11" s="15">
        <v>1.9527567069045501E-2</v>
      </c>
      <c r="N11" s="14">
        <v>1.3</v>
      </c>
      <c r="O11" s="16">
        <f t="shared" si="0"/>
        <v>0.92602739726027394</v>
      </c>
    </row>
    <row r="12" spans="1:15" x14ac:dyDescent="0.25">
      <c r="A12" s="14" t="s">
        <v>61</v>
      </c>
      <c r="B12" s="14" t="s">
        <v>71</v>
      </c>
      <c r="C12" s="14" t="s">
        <v>63</v>
      </c>
      <c r="D12" t="s">
        <v>65</v>
      </c>
      <c r="E12" s="17">
        <f t="shared" si="1"/>
        <v>3.5</v>
      </c>
      <c r="F12" s="17">
        <v>3.5</v>
      </c>
      <c r="G12" s="15">
        <v>0.28685664566191099</v>
      </c>
      <c r="H12" s="15">
        <v>3.96703669770022E-2</v>
      </c>
      <c r="I12" s="15">
        <v>0.106025174348088</v>
      </c>
      <c r="J12" s="15">
        <v>0.50517989846354605</v>
      </c>
      <c r="K12" s="15">
        <v>0.28837180142015101</v>
      </c>
      <c r="L12" s="15">
        <v>5.0448429480514098E-3</v>
      </c>
      <c r="M12" s="15">
        <v>4.9521740866498097E-2</v>
      </c>
      <c r="N12" s="14">
        <v>1.3</v>
      </c>
      <c r="O12" s="16">
        <f t="shared" si="0"/>
        <v>0.92602739726027394</v>
      </c>
    </row>
    <row r="13" spans="1:15" x14ac:dyDescent="0.25">
      <c r="A13" s="14" t="s">
        <v>61</v>
      </c>
      <c r="B13" s="14" t="s">
        <v>71</v>
      </c>
      <c r="C13" s="14" t="s">
        <v>63</v>
      </c>
      <c r="D13" t="s">
        <v>66</v>
      </c>
      <c r="E13" s="14">
        <f t="shared" si="1"/>
        <v>8</v>
      </c>
      <c r="F13" s="14">
        <v>8</v>
      </c>
      <c r="G13" s="15">
        <v>0.18072697225569601</v>
      </c>
      <c r="H13" s="15">
        <v>5.0569824263558702E-2</v>
      </c>
      <c r="I13" s="15">
        <v>0.18632765898871201</v>
      </c>
      <c r="J13" s="15">
        <v>0.391250172065705</v>
      </c>
      <c r="K13" s="15">
        <v>0.30094292006974399</v>
      </c>
      <c r="L13" s="15">
        <v>6.7332178581260898E-3</v>
      </c>
      <c r="M13" s="15">
        <v>5.7219877030375302E-2</v>
      </c>
      <c r="N13" s="14">
        <v>1.3</v>
      </c>
      <c r="O13" s="16">
        <f t="shared" si="0"/>
        <v>0.92602739726027394</v>
      </c>
    </row>
    <row r="14" spans="1:15" x14ac:dyDescent="0.25">
      <c r="A14" s="14" t="s">
        <v>61</v>
      </c>
      <c r="B14" s="14" t="s">
        <v>71</v>
      </c>
      <c r="C14" s="14" t="s">
        <v>63</v>
      </c>
      <c r="D14" t="s">
        <v>67</v>
      </c>
      <c r="E14" s="14">
        <f t="shared" si="1"/>
        <v>15.5</v>
      </c>
      <c r="F14" s="14">
        <v>15.5</v>
      </c>
      <c r="G14" s="15">
        <v>6.9739598069275502E-2</v>
      </c>
      <c r="H14" s="15">
        <v>8.3280816176077105E-2</v>
      </c>
      <c r="I14" s="15">
        <v>0.314212629088163</v>
      </c>
      <c r="J14" s="15">
        <v>0.14568754867745901</v>
      </c>
      <c r="K14" s="15">
        <v>0.352477571210292</v>
      </c>
      <c r="L14" s="15">
        <v>2.09283348890302E-2</v>
      </c>
      <c r="M14" s="15">
        <v>7.3625586359015199E-2</v>
      </c>
      <c r="N14" s="14">
        <v>1.3</v>
      </c>
      <c r="O14" s="16">
        <f t="shared" si="0"/>
        <v>0.92602739726027394</v>
      </c>
    </row>
    <row r="15" spans="1:15" x14ac:dyDescent="0.25">
      <c r="A15" s="14" t="s">
        <v>61</v>
      </c>
      <c r="B15" s="14" t="s">
        <v>71</v>
      </c>
      <c r="C15" s="14" t="s">
        <v>63</v>
      </c>
      <c r="D15" t="s">
        <v>68</v>
      </c>
      <c r="E15" s="14">
        <f t="shared" si="1"/>
        <v>25.5</v>
      </c>
      <c r="F15" s="14">
        <v>25.5</v>
      </c>
      <c r="G15" s="15">
        <v>3.48775732631635E-2</v>
      </c>
      <c r="H15" s="15">
        <v>6.7302577026982793E-2</v>
      </c>
      <c r="I15" s="15">
        <v>0.25028456963857398</v>
      </c>
      <c r="J15" s="15">
        <v>0.43292180947654002</v>
      </c>
      <c r="K15" s="15">
        <v>0.15857884585092999</v>
      </c>
      <c r="L15" s="15">
        <v>4.3960436647219797E-2</v>
      </c>
      <c r="M15" s="15">
        <v>3.9122009789789899E-2</v>
      </c>
      <c r="N15" s="14">
        <v>1.3</v>
      </c>
      <c r="O15" s="16">
        <f t="shared" si="0"/>
        <v>0.92602739726027394</v>
      </c>
    </row>
    <row r="16" spans="1:15" x14ac:dyDescent="0.25">
      <c r="A16" s="14" t="s">
        <v>61</v>
      </c>
      <c r="B16" s="14" t="s">
        <v>71</v>
      </c>
      <c r="C16" s="14" t="s">
        <v>63</v>
      </c>
      <c r="D16" t="s">
        <v>69</v>
      </c>
      <c r="E16" s="14">
        <f t="shared" si="1"/>
        <v>40.5</v>
      </c>
      <c r="F16" s="14">
        <v>40.5</v>
      </c>
      <c r="G16" s="18">
        <v>1.7259927547299801E-2</v>
      </c>
      <c r="H16" s="15">
        <v>0.12842094516278199</v>
      </c>
      <c r="I16" s="15">
        <v>0.417603041240518</v>
      </c>
      <c r="J16" s="15">
        <v>0</v>
      </c>
      <c r="K16" s="15">
        <v>0.235491949480815</v>
      </c>
      <c r="L16" s="15">
        <v>0.13164595732414</v>
      </c>
      <c r="M16" s="15">
        <v>6.7824347940976804E-2</v>
      </c>
      <c r="N16" s="14">
        <v>1.3</v>
      </c>
      <c r="O16" s="16">
        <f t="shared" si="0"/>
        <v>0.92602739726027394</v>
      </c>
    </row>
    <row r="17" spans="1:15" x14ac:dyDescent="0.25">
      <c r="A17" s="14" t="s">
        <v>61</v>
      </c>
      <c r="B17" s="14" t="s">
        <v>71</v>
      </c>
      <c r="C17" s="14" t="s">
        <v>63</v>
      </c>
      <c r="D17" t="s">
        <v>70</v>
      </c>
      <c r="E17" s="14">
        <v>55</v>
      </c>
      <c r="F17" s="14">
        <v>60</v>
      </c>
      <c r="G17" s="18">
        <v>1.6794199430418599E-2</v>
      </c>
      <c r="H17" s="15">
        <v>8.4293103235442896E-2</v>
      </c>
      <c r="I17" s="15">
        <v>0.359447715685911</v>
      </c>
      <c r="J17" s="15">
        <v>0</v>
      </c>
      <c r="K17" s="15">
        <v>0.100050611660432</v>
      </c>
      <c r="L17" s="15">
        <v>0.38351294300633199</v>
      </c>
      <c r="M17" s="15">
        <v>3.8585218926292103E-2</v>
      </c>
      <c r="N17" s="14">
        <v>1.3</v>
      </c>
      <c r="O17" s="16">
        <f t="shared" si="0"/>
        <v>0.92602739726027394</v>
      </c>
    </row>
    <row r="18" spans="1:15" x14ac:dyDescent="0.25">
      <c r="A18" s="14" t="s">
        <v>61</v>
      </c>
      <c r="B18" s="14" t="s">
        <v>72</v>
      </c>
      <c r="C18" s="14" t="s">
        <v>63</v>
      </c>
      <c r="D18" t="s">
        <v>96</v>
      </c>
      <c r="E18" s="14">
        <f t="shared" ref="E18:E24" si="2">E10</f>
        <v>0</v>
      </c>
      <c r="F18" s="14">
        <v>0</v>
      </c>
      <c r="G18" s="15">
        <v>0.26606850501711699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4">
        <v>1.1000000000000001</v>
      </c>
      <c r="O18" s="16">
        <f t="shared" si="0"/>
        <v>0.78356164383561644</v>
      </c>
    </row>
    <row r="19" spans="1:15" x14ac:dyDescent="0.25">
      <c r="A19" s="14" t="s">
        <v>61</v>
      </c>
      <c r="B19" s="14" t="s">
        <v>72</v>
      </c>
      <c r="C19" s="14" t="s">
        <v>63</v>
      </c>
      <c r="D19" t="s">
        <v>64</v>
      </c>
      <c r="E19" s="14">
        <f t="shared" si="2"/>
        <v>0.5</v>
      </c>
      <c r="F19" s="14">
        <v>0.5</v>
      </c>
      <c r="G19" s="15">
        <v>0.20118074925951401</v>
      </c>
      <c r="H19" s="15">
        <v>1.42978983785273E-2</v>
      </c>
      <c r="I19" s="15">
        <v>1.60162759590926E-2</v>
      </c>
      <c r="J19" s="15">
        <v>0.80937360145485504</v>
      </c>
      <c r="K19" s="15">
        <v>0.136283799718559</v>
      </c>
      <c r="L19" s="15">
        <v>5.4408844523926502E-3</v>
      </c>
      <c r="M19" s="15">
        <v>1.29968328827312E-2</v>
      </c>
      <c r="N19" s="14">
        <v>1.1000000000000001</v>
      </c>
      <c r="O19" s="16">
        <f t="shared" si="0"/>
        <v>0.78356164383561644</v>
      </c>
    </row>
    <row r="20" spans="1:15" x14ac:dyDescent="0.25">
      <c r="A20" s="14" t="s">
        <v>61</v>
      </c>
      <c r="B20" s="14" t="s">
        <v>72</v>
      </c>
      <c r="C20" s="14" t="s">
        <v>63</v>
      </c>
      <c r="D20" t="s">
        <v>65</v>
      </c>
      <c r="E20" s="17">
        <f t="shared" si="2"/>
        <v>3.5</v>
      </c>
      <c r="F20" s="17">
        <v>3.5</v>
      </c>
      <c r="G20" s="15">
        <v>0.27788246678436701</v>
      </c>
      <c r="H20" s="15">
        <v>3.0543578701592699E-2</v>
      </c>
      <c r="I20" s="15">
        <v>6.5237625979053498E-2</v>
      </c>
      <c r="J20" s="15">
        <v>0.58133350491928604</v>
      </c>
      <c r="K20" s="15">
        <v>0.26128596759078698</v>
      </c>
      <c r="L20" s="15">
        <v>7.3601352390435301E-3</v>
      </c>
      <c r="M20" s="15">
        <v>4.5431166224169102E-2</v>
      </c>
      <c r="N20" s="14">
        <v>1.1000000000000001</v>
      </c>
      <c r="O20" s="16">
        <f t="shared" si="0"/>
        <v>0.78356164383561644</v>
      </c>
    </row>
    <row r="21" spans="1:15" x14ac:dyDescent="0.25">
      <c r="A21" s="14" t="s">
        <v>61</v>
      </c>
      <c r="B21" s="14" t="s">
        <v>72</v>
      </c>
      <c r="C21" s="14" t="s">
        <v>63</v>
      </c>
      <c r="D21" t="s">
        <v>66</v>
      </c>
      <c r="E21" s="14">
        <f t="shared" si="2"/>
        <v>8</v>
      </c>
      <c r="F21" s="14">
        <v>8</v>
      </c>
      <c r="G21" s="15">
        <v>0.125240765944791</v>
      </c>
      <c r="H21" s="15">
        <v>4.1972290279187502E-2</v>
      </c>
      <c r="I21" s="15">
        <v>0.16905856365616501</v>
      </c>
      <c r="J21" s="15">
        <v>0.46716728369475402</v>
      </c>
      <c r="K21" s="15">
        <v>0.23484778152316299</v>
      </c>
      <c r="L21" s="15">
        <v>1.8566523013646401E-2</v>
      </c>
      <c r="M21" s="15">
        <v>5.6932014629208501E-2</v>
      </c>
      <c r="N21" s="14">
        <v>1.1000000000000001</v>
      </c>
      <c r="O21" s="16">
        <f t="shared" si="0"/>
        <v>0.78356164383561644</v>
      </c>
    </row>
    <row r="22" spans="1:15" x14ac:dyDescent="0.25">
      <c r="A22" s="14" t="s">
        <v>61</v>
      </c>
      <c r="B22" s="14" t="s">
        <v>72</v>
      </c>
      <c r="C22" s="14" t="s">
        <v>63</v>
      </c>
      <c r="D22" t="s">
        <v>67</v>
      </c>
      <c r="E22" s="14">
        <f t="shared" si="2"/>
        <v>15.5</v>
      </c>
      <c r="F22" s="14">
        <v>15.5</v>
      </c>
      <c r="G22" s="15">
        <v>5.1038540575519202E-2</v>
      </c>
      <c r="H22" s="15">
        <v>7.5732006619267295E-2</v>
      </c>
      <c r="I22" s="15">
        <v>0.36643606879656798</v>
      </c>
      <c r="J22" s="15">
        <v>0.11273418537674799</v>
      </c>
      <c r="K22" s="15">
        <v>0.28627427953927098</v>
      </c>
      <c r="L22" s="15">
        <v>8.0641974081875803E-2</v>
      </c>
      <c r="M22" s="15">
        <v>6.2154717187793702E-2</v>
      </c>
      <c r="N22" s="14">
        <v>1.1000000000000001</v>
      </c>
      <c r="O22" s="16">
        <f t="shared" si="0"/>
        <v>0.78356164383561644</v>
      </c>
    </row>
    <row r="23" spans="1:15" x14ac:dyDescent="0.25">
      <c r="A23" s="14" t="s">
        <v>61</v>
      </c>
      <c r="B23" s="14" t="s">
        <v>72</v>
      </c>
      <c r="C23" s="14" t="s">
        <v>63</v>
      </c>
      <c r="D23" t="s">
        <v>68</v>
      </c>
      <c r="E23" s="14">
        <f t="shared" si="2"/>
        <v>25.5</v>
      </c>
      <c r="F23" s="14">
        <v>25.5</v>
      </c>
      <c r="G23" s="15">
        <v>3.38169848733322E-2</v>
      </c>
      <c r="H23" s="15">
        <v>5.3649495868314301E-2</v>
      </c>
      <c r="I23" s="15">
        <v>0.29730753417507899</v>
      </c>
      <c r="J23" s="15">
        <v>0.35709054345672597</v>
      </c>
      <c r="K23" s="15">
        <v>0.14221562307608701</v>
      </c>
      <c r="L23" s="15">
        <v>0.106979023094407</v>
      </c>
      <c r="M23" s="15">
        <v>3.1802156273366501E-2</v>
      </c>
      <c r="N23" s="14">
        <v>1.1000000000000001</v>
      </c>
      <c r="O23" s="16">
        <f t="shared" si="0"/>
        <v>0.78356164383561644</v>
      </c>
    </row>
    <row r="24" spans="1:15" x14ac:dyDescent="0.25">
      <c r="A24" s="14" t="s">
        <v>61</v>
      </c>
      <c r="B24" s="14" t="s">
        <v>72</v>
      </c>
      <c r="C24" s="14" t="s">
        <v>63</v>
      </c>
      <c r="D24" t="s">
        <v>69</v>
      </c>
      <c r="E24" s="14">
        <f t="shared" si="2"/>
        <v>40.5</v>
      </c>
      <c r="F24" s="14">
        <v>40.5</v>
      </c>
      <c r="G24" s="15">
        <v>2.1238191185474899E-2</v>
      </c>
      <c r="H24" s="15">
        <v>8.3765925403307795E-2</v>
      </c>
      <c r="I24" s="15">
        <v>0.454090064176492</v>
      </c>
      <c r="J24" s="15">
        <v>0</v>
      </c>
      <c r="K24" s="15">
        <v>0.175007801582025</v>
      </c>
      <c r="L24" s="15">
        <v>0.22008059373431199</v>
      </c>
      <c r="M24" s="15">
        <v>4.5735587425206503E-2</v>
      </c>
      <c r="N24" s="14">
        <v>1.1000000000000001</v>
      </c>
      <c r="O24" s="16">
        <f t="shared" si="0"/>
        <v>0.78356164383561644</v>
      </c>
    </row>
    <row r="25" spans="1:15" x14ac:dyDescent="0.25">
      <c r="A25" s="14" t="s">
        <v>61</v>
      </c>
      <c r="B25" s="14" t="s">
        <v>72</v>
      </c>
      <c r="C25" s="14" t="s">
        <v>63</v>
      </c>
      <c r="D25" t="s">
        <v>70</v>
      </c>
      <c r="E25" s="14">
        <v>55</v>
      </c>
      <c r="F25" s="14">
        <v>60</v>
      </c>
      <c r="G25" s="15">
        <v>2.3533796359884701E-2</v>
      </c>
      <c r="H25" s="15">
        <v>6.8333385372376002E-2</v>
      </c>
      <c r="I25" s="15">
        <v>0.43837750835838801</v>
      </c>
      <c r="J25" s="15">
        <v>0</v>
      </c>
      <c r="K25" s="15">
        <v>7.6261074367465403E-2</v>
      </c>
      <c r="L25" s="15">
        <v>0.34827037527496502</v>
      </c>
      <c r="M25" s="15">
        <v>2.99585707997298E-2</v>
      </c>
      <c r="N25" s="14">
        <v>1.1000000000000001</v>
      </c>
      <c r="O25" s="16">
        <f t="shared" si="0"/>
        <v>0.78356164383561644</v>
      </c>
    </row>
    <row r="26" spans="1:15" x14ac:dyDescent="0.25">
      <c r="A26" s="15" t="s">
        <v>61</v>
      </c>
      <c r="B26" s="15" t="s">
        <v>73</v>
      </c>
      <c r="C26" s="15" t="s">
        <v>63</v>
      </c>
      <c r="D26" t="s">
        <v>96</v>
      </c>
      <c r="E26" s="14">
        <f t="shared" ref="E26:E32" si="3">E18</f>
        <v>0</v>
      </c>
      <c r="F26" s="14">
        <v>0</v>
      </c>
      <c r="G26" s="15">
        <v>0.38751184134842398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20">
        <v>0.77200000000000002</v>
      </c>
      <c r="O26" s="16">
        <f t="shared" si="0"/>
        <v>0.54991780821917802</v>
      </c>
    </row>
    <row r="27" spans="1:15" x14ac:dyDescent="0.25">
      <c r="A27" s="15" t="s">
        <v>61</v>
      </c>
      <c r="B27" s="15" t="s">
        <v>73</v>
      </c>
      <c r="C27" s="15" t="s">
        <v>63</v>
      </c>
      <c r="D27" t="s">
        <v>64</v>
      </c>
      <c r="E27" s="14">
        <f t="shared" si="3"/>
        <v>0.5</v>
      </c>
      <c r="F27" s="14">
        <v>0.5</v>
      </c>
      <c r="G27" s="15">
        <v>0.142686015388338</v>
      </c>
      <c r="H27" s="15">
        <v>8.0053345109954502E-3</v>
      </c>
      <c r="I27" s="15">
        <v>2.0920585897717701E-2</v>
      </c>
      <c r="J27" s="15">
        <v>0.90072809458036596</v>
      </c>
      <c r="K27" s="15">
        <v>4.7884015418053698E-2</v>
      </c>
      <c r="L27" s="15">
        <v>6.5549352700750201E-3</v>
      </c>
      <c r="M27" s="15">
        <v>9.3722907898837193E-3</v>
      </c>
      <c r="N27" s="20">
        <v>0.77200000000000002</v>
      </c>
      <c r="O27" s="16">
        <f t="shared" si="0"/>
        <v>0.54991780821917802</v>
      </c>
    </row>
    <row r="28" spans="1:15" x14ac:dyDescent="0.25">
      <c r="A28" s="15" t="s">
        <v>61</v>
      </c>
      <c r="B28" s="15" t="s">
        <v>73</v>
      </c>
      <c r="C28" s="15" t="s">
        <v>63</v>
      </c>
      <c r="D28" t="s">
        <v>65</v>
      </c>
      <c r="E28" s="17">
        <f t="shared" si="3"/>
        <v>3.5</v>
      </c>
      <c r="F28" s="17">
        <v>3.5</v>
      </c>
      <c r="G28" s="15">
        <v>0.179791853763212</v>
      </c>
      <c r="H28" s="15">
        <v>1.8205337195522E-2</v>
      </c>
      <c r="I28" s="15">
        <v>8.1289118094613505E-2</v>
      </c>
      <c r="J28" s="15">
        <v>0.72207796219564202</v>
      </c>
      <c r="K28" s="15">
        <v>0.123784799035439</v>
      </c>
      <c r="L28" s="15">
        <v>7.3067315541823497E-3</v>
      </c>
      <c r="M28" s="15">
        <v>3.57129319501618E-2</v>
      </c>
      <c r="N28" s="20">
        <v>0.77200000000000002</v>
      </c>
      <c r="O28" s="16">
        <f t="shared" si="0"/>
        <v>0.54991780821917802</v>
      </c>
    </row>
    <row r="29" spans="1:15" x14ac:dyDescent="0.25">
      <c r="A29" s="15" t="s">
        <v>61</v>
      </c>
      <c r="B29" s="15" t="s">
        <v>73</v>
      </c>
      <c r="C29" s="15" t="s">
        <v>63</v>
      </c>
      <c r="D29" t="s">
        <v>66</v>
      </c>
      <c r="E29" s="14">
        <f t="shared" si="3"/>
        <v>8</v>
      </c>
      <c r="F29" s="14">
        <v>8</v>
      </c>
      <c r="G29" s="15">
        <v>0.125667345721832</v>
      </c>
      <c r="H29" s="15">
        <v>2.4788503222838699E-2</v>
      </c>
      <c r="I29" s="15">
        <v>0.18218250715731099</v>
      </c>
      <c r="J29" s="15">
        <v>0.56096940941109696</v>
      </c>
      <c r="K29" s="15">
        <v>0.148707724813786</v>
      </c>
      <c r="L29" s="15">
        <v>1.08391350200286E-2</v>
      </c>
      <c r="M29" s="15">
        <v>5.6497229240758701E-2</v>
      </c>
      <c r="N29" s="20">
        <v>0.77200000000000002</v>
      </c>
      <c r="O29" s="16">
        <f t="shared" si="0"/>
        <v>0.54991780821917802</v>
      </c>
    </row>
    <row r="30" spans="1:15" x14ac:dyDescent="0.25">
      <c r="A30" s="15" t="s">
        <v>61</v>
      </c>
      <c r="B30" s="15" t="s">
        <v>73</v>
      </c>
      <c r="C30" s="15" t="s">
        <v>63</v>
      </c>
      <c r="D30" t="s">
        <v>67</v>
      </c>
      <c r="E30" s="14">
        <f t="shared" si="3"/>
        <v>15.5</v>
      </c>
      <c r="F30" s="14">
        <v>15.5</v>
      </c>
      <c r="G30" s="15">
        <v>6.6459400258033596E-2</v>
      </c>
      <c r="H30" s="15">
        <v>4.2383306713409098E-2</v>
      </c>
      <c r="I30" s="15">
        <v>0.37442411998430303</v>
      </c>
      <c r="J30" s="15">
        <v>0.22555815661290099</v>
      </c>
      <c r="K30" s="15">
        <v>0.22730908256494201</v>
      </c>
      <c r="L30" s="15">
        <v>2.8747777175390999E-2</v>
      </c>
      <c r="M30" s="15">
        <v>7.90926871290141E-2</v>
      </c>
      <c r="N30" s="20">
        <v>0.77200000000000002</v>
      </c>
      <c r="O30" s="16">
        <f t="shared" si="0"/>
        <v>0.54991780821917802</v>
      </c>
    </row>
    <row r="31" spans="1:15" x14ac:dyDescent="0.25">
      <c r="A31" s="15" t="s">
        <v>61</v>
      </c>
      <c r="B31" s="15" t="s">
        <v>73</v>
      </c>
      <c r="C31" s="15" t="s">
        <v>63</v>
      </c>
      <c r="D31" t="s">
        <v>68</v>
      </c>
      <c r="E31" s="14">
        <f t="shared" si="3"/>
        <v>25.5</v>
      </c>
      <c r="F31" s="14">
        <v>25.5</v>
      </c>
      <c r="G31" s="15">
        <v>3.8093122659615501E-2</v>
      </c>
      <c r="H31" s="15">
        <v>3.6677211681426097E-2</v>
      </c>
      <c r="I31" s="15">
        <v>0.37693056540617498</v>
      </c>
      <c r="J31" s="15">
        <v>0.31668759976125599</v>
      </c>
      <c r="K31" s="15">
        <v>0.153212938930544</v>
      </c>
      <c r="L31" s="15">
        <v>5.0667100009567902E-2</v>
      </c>
      <c r="M31" s="15">
        <v>4.6219361619082397E-2</v>
      </c>
      <c r="N31" s="20">
        <v>0.77200000000000002</v>
      </c>
      <c r="O31" s="16">
        <f t="shared" si="0"/>
        <v>0.54991780821917802</v>
      </c>
    </row>
    <row r="32" spans="1:15" x14ac:dyDescent="0.25">
      <c r="A32" s="15" t="s">
        <v>61</v>
      </c>
      <c r="B32" s="15" t="s">
        <v>73</v>
      </c>
      <c r="C32" s="15" t="s">
        <v>63</v>
      </c>
      <c r="D32" t="s">
        <v>69</v>
      </c>
      <c r="E32" s="14">
        <f t="shared" si="3"/>
        <v>40.5</v>
      </c>
      <c r="F32" s="14">
        <v>40.5</v>
      </c>
      <c r="G32" s="15">
        <v>2.5545632303476201E-2</v>
      </c>
      <c r="H32" s="15">
        <v>5.4106656110183497E-2</v>
      </c>
      <c r="I32" s="15">
        <v>0.56704619880551099</v>
      </c>
      <c r="J32" s="15">
        <v>0</v>
      </c>
      <c r="K32" s="15">
        <v>0.15266830509564699</v>
      </c>
      <c r="L32" s="15">
        <v>0.146019170162595</v>
      </c>
      <c r="M32" s="15">
        <v>4.61113884100324E-2</v>
      </c>
      <c r="N32" s="20">
        <v>0.77200000000000002</v>
      </c>
      <c r="O32" s="16">
        <f t="shared" si="0"/>
        <v>0.54991780821917802</v>
      </c>
    </row>
    <row r="33" spans="1:15" x14ac:dyDescent="0.25">
      <c r="A33" s="15" t="s">
        <v>61</v>
      </c>
      <c r="B33" s="15" t="s">
        <v>73</v>
      </c>
      <c r="C33" s="15" t="s">
        <v>63</v>
      </c>
      <c r="D33" t="s">
        <v>70</v>
      </c>
      <c r="E33" s="14">
        <v>55</v>
      </c>
      <c r="F33" s="14">
        <v>60</v>
      </c>
      <c r="G33" s="15">
        <v>3.4244788557068903E-2</v>
      </c>
      <c r="H33" s="15">
        <v>3.5745913606355303E-2</v>
      </c>
      <c r="I33" s="15">
        <v>0.50156623831487501</v>
      </c>
      <c r="J33" s="15">
        <v>0</v>
      </c>
      <c r="K33" s="15">
        <v>5.1253210273279899E-2</v>
      </c>
      <c r="L33" s="15">
        <v>0.34187209994191797</v>
      </c>
      <c r="M33" s="15">
        <v>2.2857179541153499E-2</v>
      </c>
      <c r="N33" s="20">
        <v>0.77200000000000002</v>
      </c>
      <c r="O33" s="16">
        <f t="shared" si="0"/>
        <v>0.54991780821917802</v>
      </c>
    </row>
  </sheetData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5"/>
  <sheetViews>
    <sheetView zoomScaleNormal="100" workbookViewId="0">
      <selection activeCell="E3" sqref="E3:E7"/>
    </sheetView>
  </sheetViews>
  <sheetFormatPr defaultColWidth="8.5703125" defaultRowHeight="15" x14ac:dyDescent="0.25"/>
  <cols>
    <col min="1" max="1" width="10.42578125" customWidth="1"/>
    <col min="2" max="2" width="9.85546875" customWidth="1"/>
    <col min="3" max="3" width="13.85546875" customWidth="1"/>
    <col min="4" max="4" width="15.85546875" customWidth="1"/>
    <col min="9" max="9" width="12.140625" customWidth="1"/>
    <col min="10" max="10" width="10" customWidth="1"/>
    <col min="11" max="11" width="8.42578125" customWidth="1"/>
    <col min="12" max="12" width="9.85546875" customWidth="1"/>
    <col min="14" max="14" width="11.85546875" customWidth="1"/>
    <col min="15" max="15" width="25.7109375" bestFit="1" customWidth="1"/>
    <col min="16" max="16" width="9.85546875" customWidth="1"/>
    <col min="17" max="17" width="11.5703125" customWidth="1"/>
    <col min="18" max="18" width="14.85546875" customWidth="1"/>
  </cols>
  <sheetData>
    <row r="1" spans="1:19" x14ac:dyDescent="0.25">
      <c r="A1" s="28" t="s">
        <v>47</v>
      </c>
      <c r="B1" s="29" t="s">
        <v>74</v>
      </c>
      <c r="C1" s="29" t="s">
        <v>49</v>
      </c>
      <c r="D1" s="29" t="s">
        <v>75</v>
      </c>
      <c r="E1" s="29" t="s">
        <v>76</v>
      </c>
      <c r="F1" s="25" t="s">
        <v>77</v>
      </c>
      <c r="G1" s="25"/>
      <c r="H1" s="25"/>
      <c r="I1" s="25"/>
      <c r="J1" s="25"/>
      <c r="K1" s="25"/>
      <c r="L1" s="26" t="s">
        <v>78</v>
      </c>
      <c r="M1" s="27" t="s">
        <v>59</v>
      </c>
      <c r="P1" t="s">
        <v>79</v>
      </c>
      <c r="Q1" t="s">
        <v>11</v>
      </c>
      <c r="R1" t="s">
        <v>80</v>
      </c>
    </row>
    <row r="2" spans="1:19" x14ac:dyDescent="0.25">
      <c r="A2" s="28"/>
      <c r="B2" s="29"/>
      <c r="C2" s="29"/>
      <c r="D2" s="29"/>
      <c r="E2" s="29"/>
      <c r="F2" s="10" t="s">
        <v>81</v>
      </c>
      <c r="G2" s="10" t="s">
        <v>82</v>
      </c>
      <c r="H2" s="10" t="s">
        <v>26</v>
      </c>
      <c r="I2" s="10" t="s">
        <v>83</v>
      </c>
      <c r="J2" s="10" t="s">
        <v>84</v>
      </c>
      <c r="K2" s="11" t="s">
        <v>85</v>
      </c>
      <c r="L2" s="26"/>
      <c r="M2" s="27"/>
      <c r="P2">
        <f>171186.372*10^3</f>
        <v>171186372</v>
      </c>
      <c r="Q2" s="19">
        <v>0.39700000000000002</v>
      </c>
      <c r="R2" t="s">
        <v>86</v>
      </c>
      <c r="S2" s="19">
        <v>0.34</v>
      </c>
    </row>
    <row r="3" spans="1:19" x14ac:dyDescent="0.25">
      <c r="A3" t="s">
        <v>87</v>
      </c>
      <c r="B3" t="s">
        <v>86</v>
      </c>
      <c r="C3" s="14" t="s">
        <v>88</v>
      </c>
      <c r="D3" s="20">
        <v>4.875</v>
      </c>
      <c r="E3" s="17">
        <v>17.95</v>
      </c>
      <c r="F3" s="21">
        <v>0.06</v>
      </c>
      <c r="G3" s="21">
        <v>0.35</v>
      </c>
      <c r="H3" s="21">
        <v>0.22</v>
      </c>
      <c r="I3" s="21">
        <v>0.05</v>
      </c>
      <c r="J3" s="21">
        <v>0.03</v>
      </c>
      <c r="K3" s="21">
        <v>0.28999999999999998</v>
      </c>
      <c r="L3">
        <f>$P$2*$Q$2*$S$2</f>
        <v>23106736.492560003</v>
      </c>
      <c r="M3" s="14">
        <v>0.44</v>
      </c>
      <c r="N3">
        <f>D3*E3*L3*M3</f>
        <v>889672898.48891461</v>
      </c>
      <c r="R3" t="s">
        <v>89</v>
      </c>
      <c r="S3" s="19">
        <v>0.3</v>
      </c>
    </row>
    <row r="4" spans="1:19" x14ac:dyDescent="0.25">
      <c r="A4" t="s">
        <v>87</v>
      </c>
      <c r="B4" t="s">
        <v>86</v>
      </c>
      <c r="C4" s="14" t="s">
        <v>90</v>
      </c>
      <c r="D4" s="20">
        <v>3.2349999999999999</v>
      </c>
      <c r="E4" s="17">
        <v>11.65</v>
      </c>
      <c r="F4" s="21">
        <v>0.04</v>
      </c>
      <c r="G4" s="21">
        <v>0.2</v>
      </c>
      <c r="H4" s="21">
        <v>0.3</v>
      </c>
      <c r="I4" s="21">
        <v>0.02</v>
      </c>
      <c r="J4" s="21">
        <v>0.03</v>
      </c>
      <c r="K4" s="21">
        <v>0.41</v>
      </c>
      <c r="L4">
        <f>$P$2*$Q$2*$S$2</f>
        <v>23106736.492560003</v>
      </c>
      <c r="M4" s="14">
        <v>0.28999999999999998</v>
      </c>
      <c r="N4">
        <f>D4*E4*L4*M4</f>
        <v>252543863.39176866</v>
      </c>
      <c r="R4" t="s">
        <v>91</v>
      </c>
      <c r="S4" s="19">
        <v>0.36</v>
      </c>
    </row>
    <row r="5" spans="1:19" x14ac:dyDescent="0.25">
      <c r="A5" t="s">
        <v>87</v>
      </c>
      <c r="B5" t="s">
        <v>86</v>
      </c>
      <c r="C5" s="14" t="s">
        <v>92</v>
      </c>
      <c r="D5" s="20">
        <v>4.085</v>
      </c>
      <c r="E5" s="17">
        <v>38.200000000000003</v>
      </c>
      <c r="F5" s="21">
        <v>0.05</v>
      </c>
      <c r="G5" s="21">
        <v>0.27</v>
      </c>
      <c r="H5" s="21">
        <v>0.2</v>
      </c>
      <c r="I5" s="21">
        <v>0.06</v>
      </c>
      <c r="J5" s="21">
        <v>0.02</v>
      </c>
      <c r="K5" s="21">
        <v>0.4</v>
      </c>
      <c r="L5">
        <f>$P$2*$Q$2*$S$2</f>
        <v>23106736.492560003</v>
      </c>
      <c r="M5" s="14">
        <v>1.1399999999999999</v>
      </c>
      <c r="N5">
        <f>D5*E5*L5*M5</f>
        <v>4110540076.778142</v>
      </c>
    </row>
    <row r="6" spans="1:19" x14ac:dyDescent="0.25">
      <c r="A6" t="s">
        <v>87</v>
      </c>
      <c r="B6" t="s">
        <v>86</v>
      </c>
      <c r="C6" s="14" t="s">
        <v>93</v>
      </c>
      <c r="D6" s="20">
        <v>5.8250000000000002</v>
      </c>
      <c r="E6" s="17">
        <v>7.65</v>
      </c>
      <c r="F6" s="21">
        <v>0.1</v>
      </c>
      <c r="G6" s="21">
        <v>0.47</v>
      </c>
      <c r="H6" s="21">
        <v>0.04</v>
      </c>
      <c r="I6" s="21">
        <v>0.11</v>
      </c>
      <c r="J6" s="21">
        <v>0.04</v>
      </c>
      <c r="K6" s="21">
        <v>0.24</v>
      </c>
      <c r="L6">
        <f>$P$2*$Q$2*$S$2</f>
        <v>23106736.492560003</v>
      </c>
      <c r="M6" s="14">
        <v>0.25</v>
      </c>
      <c r="N6">
        <f>D6*E6*L6*M6</f>
        <v>257416265.38227236</v>
      </c>
    </row>
    <row r="7" spans="1:19" x14ac:dyDescent="0.25">
      <c r="A7" t="s">
        <v>87</v>
      </c>
      <c r="B7" t="s">
        <v>86</v>
      </c>
      <c r="C7" s="14" t="s">
        <v>36</v>
      </c>
      <c r="D7" s="20">
        <v>3.75</v>
      </c>
      <c r="E7" s="17">
        <v>24.55</v>
      </c>
      <c r="F7" s="21">
        <v>0.05</v>
      </c>
      <c r="G7" s="21">
        <v>0.25</v>
      </c>
      <c r="H7" s="21">
        <v>0.18</v>
      </c>
      <c r="I7" s="21">
        <v>0.08</v>
      </c>
      <c r="J7" s="21">
        <v>0.01</v>
      </c>
      <c r="K7" s="21">
        <v>0.43</v>
      </c>
      <c r="L7">
        <f>$P$2*$Q$2*$S$2</f>
        <v>23106736.492560003</v>
      </c>
      <c r="M7" s="14">
        <v>0.63</v>
      </c>
      <c r="N7">
        <f>D7*E7*L7*M7</f>
        <v>1340176274.8581724</v>
      </c>
    </row>
    <row r="8" spans="1:19" x14ac:dyDescent="0.25">
      <c r="A8" t="s">
        <v>87</v>
      </c>
      <c r="B8" t="s">
        <v>89</v>
      </c>
      <c r="C8" s="14" t="s">
        <v>88</v>
      </c>
      <c r="L8">
        <f>$Q$2*$P$2*$S$3</f>
        <v>20388296.905200001</v>
      </c>
    </row>
    <row r="9" spans="1:19" x14ac:dyDescent="0.25">
      <c r="A9" t="s">
        <v>87</v>
      </c>
      <c r="B9" t="s">
        <v>89</v>
      </c>
      <c r="C9" s="14" t="s">
        <v>90</v>
      </c>
      <c r="L9">
        <f>$Q$2*$P$2*$S$3</f>
        <v>20388296.905200001</v>
      </c>
    </row>
    <row r="10" spans="1:19" x14ac:dyDescent="0.25">
      <c r="A10" t="s">
        <v>87</v>
      </c>
      <c r="B10" t="s">
        <v>89</v>
      </c>
      <c r="C10" s="14" t="s">
        <v>92</v>
      </c>
      <c r="L10">
        <f>$Q$2*$P$2*$S$3</f>
        <v>20388296.905200001</v>
      </c>
    </row>
    <row r="11" spans="1:19" x14ac:dyDescent="0.25">
      <c r="A11" t="s">
        <v>87</v>
      </c>
      <c r="B11" t="s">
        <v>89</v>
      </c>
      <c r="C11" s="14" t="s">
        <v>93</v>
      </c>
      <c r="L11">
        <f>$Q$2*$P$2*$S$3</f>
        <v>20388296.905200001</v>
      </c>
    </row>
    <row r="12" spans="1:19" x14ac:dyDescent="0.25">
      <c r="A12" t="s">
        <v>87</v>
      </c>
      <c r="B12" t="s">
        <v>89</v>
      </c>
      <c r="C12" s="14" t="s">
        <v>36</v>
      </c>
      <c r="L12">
        <f>$Q$2*$P$2*$S$3</f>
        <v>20388296.905200001</v>
      </c>
    </row>
    <row r="13" spans="1:19" x14ac:dyDescent="0.25">
      <c r="A13" t="s">
        <v>87</v>
      </c>
      <c r="B13" t="s">
        <v>91</v>
      </c>
      <c r="C13" s="14" t="s">
        <v>88</v>
      </c>
      <c r="L13">
        <f>$P$2*$Q$2*$S$4</f>
        <v>24465956.28624</v>
      </c>
    </row>
    <row r="14" spans="1:19" x14ac:dyDescent="0.25">
      <c r="A14" t="s">
        <v>87</v>
      </c>
      <c r="B14" t="s">
        <v>91</v>
      </c>
      <c r="C14" s="14" t="s">
        <v>90</v>
      </c>
      <c r="L14">
        <f>$P$2*$Q$2*$S$4</f>
        <v>24465956.28624</v>
      </c>
    </row>
    <row r="15" spans="1:19" x14ac:dyDescent="0.25">
      <c r="A15" t="s">
        <v>87</v>
      </c>
      <c r="B15" t="s">
        <v>91</v>
      </c>
      <c r="C15" s="14" t="s">
        <v>92</v>
      </c>
      <c r="L15">
        <f>$P$2*$Q$2*$S$4</f>
        <v>24465956.28624</v>
      </c>
    </row>
    <row r="16" spans="1:19" x14ac:dyDescent="0.25">
      <c r="A16" t="s">
        <v>87</v>
      </c>
      <c r="B16" t="s">
        <v>91</v>
      </c>
      <c r="C16" s="14" t="s">
        <v>93</v>
      </c>
      <c r="L16">
        <f>$P$2*$Q$2*$S$4</f>
        <v>24465956.28624</v>
      </c>
    </row>
    <row r="17" spans="1:16" x14ac:dyDescent="0.25">
      <c r="A17" t="s">
        <v>87</v>
      </c>
      <c r="B17" t="s">
        <v>91</v>
      </c>
      <c r="C17" s="14" t="s">
        <v>36</v>
      </c>
      <c r="L17">
        <f>$P$2*$Q$2*$S$4</f>
        <v>24465956.28624</v>
      </c>
    </row>
    <row r="18" spans="1:16" x14ac:dyDescent="0.25">
      <c r="A18" t="s">
        <v>87</v>
      </c>
      <c r="B18" t="s">
        <v>94</v>
      </c>
      <c r="C18" s="14" t="s">
        <v>88</v>
      </c>
      <c r="L18">
        <f>$P$2*(1-$Q$2)</f>
        <v>103225382.316</v>
      </c>
      <c r="P18" s="23"/>
    </row>
    <row r="19" spans="1:16" x14ac:dyDescent="0.25">
      <c r="A19" t="s">
        <v>87</v>
      </c>
      <c r="B19" t="s">
        <v>94</v>
      </c>
      <c r="C19" s="14" t="s">
        <v>90</v>
      </c>
      <c r="L19">
        <f>$P$2*(1-$Q$2)</f>
        <v>103225382.316</v>
      </c>
      <c r="O19" s="22"/>
      <c r="P19" s="23"/>
    </row>
    <row r="20" spans="1:16" x14ac:dyDescent="0.25">
      <c r="A20" t="s">
        <v>87</v>
      </c>
      <c r="B20" t="s">
        <v>94</v>
      </c>
      <c r="C20" s="14" t="s">
        <v>92</v>
      </c>
      <c r="L20">
        <f>$P$2*(1-$Q$2)</f>
        <v>103225382.316</v>
      </c>
      <c r="O20" s="22"/>
      <c r="P20" s="23"/>
    </row>
    <row r="21" spans="1:16" x14ac:dyDescent="0.25">
      <c r="A21" t="s">
        <v>87</v>
      </c>
      <c r="B21" t="s">
        <v>94</v>
      </c>
      <c r="C21" s="14" t="s">
        <v>93</v>
      </c>
      <c r="L21">
        <f>$P$2*(1-$Q$2)</f>
        <v>103225382.316</v>
      </c>
      <c r="O21" s="22"/>
      <c r="P21" s="23"/>
    </row>
    <row r="22" spans="1:16" x14ac:dyDescent="0.25">
      <c r="A22" t="s">
        <v>87</v>
      </c>
      <c r="B22" t="s">
        <v>94</v>
      </c>
      <c r="C22" s="14" t="s">
        <v>36</v>
      </c>
      <c r="L22">
        <f>$P$2*(1-$Q$2)</f>
        <v>103225382.316</v>
      </c>
      <c r="O22" s="22"/>
      <c r="P22" s="23"/>
    </row>
    <row r="23" spans="1:16" x14ac:dyDescent="0.25">
      <c r="C23" s="14"/>
      <c r="P23" s="23"/>
    </row>
    <row r="24" spans="1:16" x14ac:dyDescent="0.25">
      <c r="P24" s="23"/>
    </row>
    <row r="25" spans="1:16" x14ac:dyDescent="0.25">
      <c r="A25" t="s">
        <v>87</v>
      </c>
      <c r="C25" s="14" t="s">
        <v>95</v>
      </c>
      <c r="D25">
        <v>129.93</v>
      </c>
    </row>
  </sheetData>
  <mergeCells count="8">
    <mergeCell ref="F1:K1"/>
    <mergeCell ref="L1:L2"/>
    <mergeCell ref="M1:M2"/>
    <mergeCell ref="A1:A2"/>
    <mergeCell ref="B1:B2"/>
    <mergeCell ref="C1:C2"/>
    <mergeCell ref="D1:D2"/>
    <mergeCell ref="E1:E2"/>
  </mergeCells>
  <pageMargins left="0.7" right="0.7" top="0.75" bottom="0.75" header="0.511811023622047" footer="0.511811023622047"/>
  <pageSetup orientation="portrait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66040-A366-4612-8000-D8C58CA34DFB}">
  <dimension ref="A1:C49"/>
  <sheetViews>
    <sheetView topLeftCell="A34" workbookViewId="0">
      <selection activeCell="H43" sqref="H43"/>
    </sheetView>
  </sheetViews>
  <sheetFormatPr defaultRowHeight="15" x14ac:dyDescent="0.25"/>
  <cols>
    <col min="1" max="1" width="10.7109375" bestFit="1" customWidth="1"/>
    <col min="2" max="2" width="10.28515625" bestFit="1" customWidth="1"/>
    <col min="3" max="3" width="11.85546875" bestFit="1" customWidth="1"/>
  </cols>
  <sheetData>
    <row r="1" spans="1:3" x14ac:dyDescent="0.25">
      <c r="A1" t="s">
        <v>97</v>
      </c>
      <c r="B1" t="s">
        <v>98</v>
      </c>
      <c r="C1" t="s">
        <v>105</v>
      </c>
    </row>
    <row r="2" spans="1:3" x14ac:dyDescent="0.25">
      <c r="A2" t="s">
        <v>61</v>
      </c>
      <c r="B2" t="s">
        <v>57</v>
      </c>
      <c r="C2">
        <v>978.50800000000004</v>
      </c>
    </row>
    <row r="3" spans="1:3" x14ac:dyDescent="0.25">
      <c r="A3" t="s">
        <v>61</v>
      </c>
      <c r="B3" t="s">
        <v>54</v>
      </c>
      <c r="C3">
        <f>[1]India!R55*0.84</f>
        <v>4657.6980800000001</v>
      </c>
    </row>
    <row r="4" spans="1:3" x14ac:dyDescent="0.25">
      <c r="A4" t="s">
        <v>61</v>
      </c>
      <c r="B4" t="s">
        <v>53</v>
      </c>
      <c r="C4">
        <v>887.1805866666673</v>
      </c>
    </row>
    <row r="5" spans="1:3" x14ac:dyDescent="0.25">
      <c r="A5" t="s">
        <v>87</v>
      </c>
      <c r="B5" t="s">
        <v>57</v>
      </c>
      <c r="C5">
        <v>8.0522740000000006</v>
      </c>
    </row>
    <row r="6" spans="1:3" x14ac:dyDescent="0.25">
      <c r="A6" t="s">
        <v>87</v>
      </c>
      <c r="B6" t="s">
        <v>54</v>
      </c>
      <c r="C6">
        <v>49.602007840000013</v>
      </c>
    </row>
    <row r="7" spans="1:3" x14ac:dyDescent="0.25">
      <c r="A7" t="s">
        <v>87</v>
      </c>
      <c r="B7" t="s">
        <v>53</v>
      </c>
      <c r="C7">
        <v>9.4480014933333365</v>
      </c>
    </row>
    <row r="8" spans="1:3" x14ac:dyDescent="0.25">
      <c r="A8" t="s">
        <v>99</v>
      </c>
      <c r="B8" t="s">
        <v>57</v>
      </c>
      <c r="C8">
        <v>16.093</v>
      </c>
    </row>
    <row r="9" spans="1:3" x14ac:dyDescent="0.25">
      <c r="A9" t="s">
        <v>99</v>
      </c>
      <c r="B9" t="s">
        <v>54</v>
      </c>
      <c r="C9">
        <v>121.66307999999998</v>
      </c>
    </row>
    <row r="10" spans="1:3" x14ac:dyDescent="0.25">
      <c r="A10" t="s">
        <v>99</v>
      </c>
      <c r="B10" t="s">
        <v>53</v>
      </c>
      <c r="C10">
        <v>23.17392000000001</v>
      </c>
    </row>
    <row r="11" spans="1:3" x14ac:dyDescent="0.25">
      <c r="A11" t="s">
        <v>100</v>
      </c>
      <c r="B11" t="s">
        <v>57</v>
      </c>
      <c r="C11">
        <v>4.5739999999999998</v>
      </c>
    </row>
    <row r="12" spans="1:3" x14ac:dyDescent="0.25">
      <c r="A12" t="s">
        <v>100</v>
      </c>
      <c r="B12" t="s">
        <v>54</v>
      </c>
      <c r="C12">
        <v>28.175840000000001</v>
      </c>
    </row>
    <row r="13" spans="1:3" x14ac:dyDescent="0.25">
      <c r="A13" t="s">
        <v>100</v>
      </c>
      <c r="B13" t="s">
        <v>53</v>
      </c>
      <c r="C13">
        <v>5.3668266666666682</v>
      </c>
    </row>
    <row r="14" spans="1:3" x14ac:dyDescent="0.25">
      <c r="A14" t="s">
        <v>101</v>
      </c>
      <c r="B14" t="s">
        <v>54</v>
      </c>
      <c r="C14">
        <v>14.397443772284356</v>
      </c>
    </row>
    <row r="15" spans="1:3" x14ac:dyDescent="0.25">
      <c r="A15" t="s">
        <v>101</v>
      </c>
      <c r="B15" t="s">
        <v>53</v>
      </c>
      <c r="C15">
        <v>2.742370242339879</v>
      </c>
    </row>
    <row r="16" spans="1:3" x14ac:dyDescent="0.25">
      <c r="A16" t="s">
        <v>102</v>
      </c>
      <c r="B16" t="s">
        <v>54</v>
      </c>
      <c r="C16">
        <v>0.37485093796559932</v>
      </c>
    </row>
    <row r="17" spans="1:3" x14ac:dyDescent="0.25">
      <c r="A17" t="s">
        <v>102</v>
      </c>
      <c r="B17" t="s">
        <v>53</v>
      </c>
      <c r="C17">
        <v>7.1400178660114166E-2</v>
      </c>
    </row>
    <row r="18" spans="1:3" x14ac:dyDescent="0.25">
      <c r="A18" t="s">
        <v>103</v>
      </c>
      <c r="B18" t="s">
        <v>54</v>
      </c>
      <c r="C18">
        <v>14.6706625897452</v>
      </c>
    </row>
    <row r="19" spans="1:3" x14ac:dyDescent="0.25">
      <c r="A19" t="s">
        <v>103</v>
      </c>
      <c r="B19" t="s">
        <v>53</v>
      </c>
      <c r="C19">
        <v>2.7944119218562289</v>
      </c>
    </row>
    <row r="20" spans="1:3" x14ac:dyDescent="0.25">
      <c r="A20" t="s">
        <v>103</v>
      </c>
      <c r="B20" t="s">
        <v>57</v>
      </c>
      <c r="C20">
        <v>0.91921444797902263</v>
      </c>
    </row>
    <row r="21" spans="1:3" x14ac:dyDescent="0.25">
      <c r="A21" t="s">
        <v>104</v>
      </c>
      <c r="B21" t="s">
        <v>57</v>
      </c>
      <c r="C21">
        <v>0</v>
      </c>
    </row>
    <row r="22" spans="1:3" x14ac:dyDescent="0.25">
      <c r="A22" t="s">
        <v>104</v>
      </c>
      <c r="B22" t="s">
        <v>53</v>
      </c>
      <c r="C22">
        <v>0</v>
      </c>
    </row>
    <row r="23" spans="1:3" x14ac:dyDescent="0.25">
      <c r="A23" t="s">
        <v>104</v>
      </c>
      <c r="B23" t="s">
        <v>54</v>
      </c>
      <c r="C23">
        <v>0</v>
      </c>
    </row>
    <row r="24" spans="1:3" x14ac:dyDescent="0.25">
      <c r="A24" t="s">
        <v>104</v>
      </c>
      <c r="B24" t="s">
        <v>55</v>
      </c>
      <c r="C24">
        <v>0</v>
      </c>
    </row>
    <row r="25" spans="1:3" x14ac:dyDescent="0.25">
      <c r="A25" t="s">
        <v>104</v>
      </c>
      <c r="B25" t="s">
        <v>58</v>
      </c>
      <c r="C25">
        <v>0</v>
      </c>
    </row>
    <row r="26" spans="1:3" x14ac:dyDescent="0.25">
      <c r="A26" t="s">
        <v>104</v>
      </c>
      <c r="B26" t="s">
        <v>56</v>
      </c>
      <c r="C26">
        <v>0</v>
      </c>
    </row>
    <row r="27" spans="1:3" x14ac:dyDescent="0.25">
      <c r="A27" t="s">
        <v>61</v>
      </c>
      <c r="B27" t="s">
        <v>55</v>
      </c>
      <c r="C27">
        <v>0</v>
      </c>
    </row>
    <row r="28" spans="1:3" x14ac:dyDescent="0.25">
      <c r="A28" t="s">
        <v>61</v>
      </c>
      <c r="B28" t="s">
        <v>58</v>
      </c>
      <c r="C28">
        <v>0</v>
      </c>
    </row>
    <row r="29" spans="1:3" x14ac:dyDescent="0.25">
      <c r="A29" t="s">
        <v>61</v>
      </c>
      <c r="B29" t="s">
        <v>56</v>
      </c>
      <c r="C29">
        <v>0</v>
      </c>
    </row>
    <row r="30" spans="1:3" x14ac:dyDescent="0.25">
      <c r="A30" t="s">
        <v>87</v>
      </c>
      <c r="B30" t="s">
        <v>55</v>
      </c>
      <c r="C30">
        <v>0</v>
      </c>
    </row>
    <row r="31" spans="1:3" x14ac:dyDescent="0.25">
      <c r="A31" t="s">
        <v>87</v>
      </c>
      <c r="B31" t="s">
        <v>58</v>
      </c>
      <c r="C31">
        <v>0</v>
      </c>
    </row>
    <row r="32" spans="1:3" x14ac:dyDescent="0.25">
      <c r="A32" t="s">
        <v>87</v>
      </c>
      <c r="B32" t="s">
        <v>56</v>
      </c>
      <c r="C32">
        <v>0</v>
      </c>
    </row>
    <row r="33" spans="1:3" x14ac:dyDescent="0.25">
      <c r="A33" t="s">
        <v>99</v>
      </c>
      <c r="B33" t="s">
        <v>55</v>
      </c>
      <c r="C33">
        <v>0</v>
      </c>
    </row>
    <row r="34" spans="1:3" x14ac:dyDescent="0.25">
      <c r="A34" t="s">
        <v>99</v>
      </c>
      <c r="B34" t="s">
        <v>58</v>
      </c>
      <c r="C34">
        <v>0</v>
      </c>
    </row>
    <row r="35" spans="1:3" x14ac:dyDescent="0.25">
      <c r="A35" t="s">
        <v>99</v>
      </c>
      <c r="B35" t="s">
        <v>56</v>
      </c>
      <c r="C35">
        <v>0</v>
      </c>
    </row>
    <row r="36" spans="1:3" x14ac:dyDescent="0.25">
      <c r="A36" t="s">
        <v>100</v>
      </c>
      <c r="B36" t="s">
        <v>55</v>
      </c>
      <c r="C36">
        <v>0</v>
      </c>
    </row>
    <row r="37" spans="1:3" x14ac:dyDescent="0.25">
      <c r="A37" t="s">
        <v>100</v>
      </c>
      <c r="B37" t="s">
        <v>58</v>
      </c>
      <c r="C37">
        <v>0</v>
      </c>
    </row>
    <row r="38" spans="1:3" x14ac:dyDescent="0.25">
      <c r="A38" t="s">
        <v>100</v>
      </c>
      <c r="B38" t="s">
        <v>56</v>
      </c>
      <c r="C38">
        <v>0</v>
      </c>
    </row>
    <row r="39" spans="1:3" x14ac:dyDescent="0.25">
      <c r="A39" t="s">
        <v>101</v>
      </c>
      <c r="B39" t="s">
        <v>55</v>
      </c>
      <c r="C39">
        <v>0</v>
      </c>
    </row>
    <row r="40" spans="1:3" x14ac:dyDescent="0.25">
      <c r="A40" t="s">
        <v>101</v>
      </c>
      <c r="B40" t="s">
        <v>58</v>
      </c>
      <c r="C40">
        <v>0</v>
      </c>
    </row>
    <row r="41" spans="1:3" x14ac:dyDescent="0.25">
      <c r="A41" t="s">
        <v>101</v>
      </c>
      <c r="B41" t="s">
        <v>56</v>
      </c>
      <c r="C41">
        <v>0</v>
      </c>
    </row>
    <row r="42" spans="1:3" x14ac:dyDescent="0.25">
      <c r="A42" t="s">
        <v>101</v>
      </c>
      <c r="B42" t="s">
        <v>57</v>
      </c>
      <c r="C42">
        <v>0</v>
      </c>
    </row>
    <row r="43" spans="1:3" x14ac:dyDescent="0.25">
      <c r="A43" t="s">
        <v>102</v>
      </c>
      <c r="B43" t="s">
        <v>57</v>
      </c>
      <c r="C43">
        <v>0</v>
      </c>
    </row>
    <row r="44" spans="1:3" x14ac:dyDescent="0.25">
      <c r="A44" t="s">
        <v>102</v>
      </c>
      <c r="B44" t="s">
        <v>55</v>
      </c>
      <c r="C44">
        <v>0</v>
      </c>
    </row>
    <row r="45" spans="1:3" x14ac:dyDescent="0.25">
      <c r="A45" t="s">
        <v>102</v>
      </c>
      <c r="B45" t="s">
        <v>58</v>
      </c>
      <c r="C45">
        <v>0</v>
      </c>
    </row>
    <row r="46" spans="1:3" x14ac:dyDescent="0.25">
      <c r="A46" t="s">
        <v>102</v>
      </c>
      <c r="B46" t="s">
        <v>56</v>
      </c>
      <c r="C46">
        <v>0</v>
      </c>
    </row>
    <row r="47" spans="1:3" x14ac:dyDescent="0.25">
      <c r="A47" t="s">
        <v>103</v>
      </c>
      <c r="B47" t="s">
        <v>55</v>
      </c>
      <c r="C47">
        <v>0</v>
      </c>
    </row>
    <row r="48" spans="1:3" x14ac:dyDescent="0.25">
      <c r="A48" t="s">
        <v>103</v>
      </c>
      <c r="B48" t="s">
        <v>58</v>
      </c>
      <c r="C48">
        <v>0</v>
      </c>
    </row>
    <row r="49" spans="1:3" x14ac:dyDescent="0.25">
      <c r="A49" t="s">
        <v>103</v>
      </c>
      <c r="B49" t="s">
        <v>56</v>
      </c>
      <c r="C4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simple_calc</vt:lpstr>
      <vt:lpstr>India</vt:lpstr>
      <vt:lpstr>Bangladesh</vt:lpstr>
      <vt:lpstr>long_dist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Gaur, Ankita</dc:creator>
  <dc:description/>
  <cp:lastModifiedBy>Gaur, Ankita Singh</cp:lastModifiedBy>
  <cp:revision>1</cp:revision>
  <dcterms:created xsi:type="dcterms:W3CDTF">2015-06-05T18:17:20Z</dcterms:created>
  <dcterms:modified xsi:type="dcterms:W3CDTF">2025-07-18T18:37:38Z</dcterms:modified>
  <dc:language>en-CA</dc:language>
</cp:coreProperties>
</file>