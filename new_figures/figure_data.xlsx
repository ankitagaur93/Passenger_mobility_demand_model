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gaur\Passenger_mobility_demand_model\new_figures\"/>
    </mc:Choice>
  </mc:AlternateContent>
  <xr:revisionPtr revIDLastSave="0" documentId="13_ncr:1_{E227DD98-8D21-4C7E-A6A6-40A4AEE7E9B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9" i="2"/>
  <c r="G5" i="2"/>
  <c r="G13" i="2"/>
  <c r="G17" i="2"/>
  <c r="G21" i="2"/>
  <c r="G10" i="2"/>
  <c r="G6" i="2"/>
  <c r="G14" i="2"/>
  <c r="G18" i="2"/>
  <c r="G22" i="2"/>
  <c r="G11" i="2"/>
  <c r="G7" i="2"/>
  <c r="G15" i="2"/>
  <c r="G19" i="2"/>
  <c r="G23" i="2"/>
  <c r="G12" i="2"/>
  <c r="G8" i="2"/>
  <c r="G16" i="2"/>
  <c r="G20" i="2"/>
  <c r="G24" i="2"/>
  <c r="G1" i="2"/>
  <c r="Y20" i="1"/>
  <c r="Y21" i="1"/>
  <c r="X25" i="1"/>
  <c r="Y22" i="1" s="1"/>
  <c r="S20" i="1"/>
  <c r="S21" i="1"/>
  <c r="S23" i="1"/>
  <c r="S24" i="1"/>
  <c r="S19" i="1"/>
  <c r="M20" i="1"/>
  <c r="M21" i="1"/>
  <c r="M22" i="1"/>
  <c r="R25" i="1"/>
  <c r="S22" i="1" s="1"/>
  <c r="L25" i="1"/>
  <c r="M23" i="1" s="1"/>
  <c r="F25" i="1"/>
  <c r="G20" i="1" s="1"/>
  <c r="Y15" i="1"/>
  <c r="Y10" i="1"/>
  <c r="X16" i="1"/>
  <c r="Y11" i="1" s="1"/>
  <c r="R16" i="1"/>
  <c r="S11" i="1" s="1"/>
  <c r="M11" i="1"/>
  <c r="M12" i="1"/>
  <c r="M13" i="1"/>
  <c r="M14" i="1"/>
  <c r="M15" i="1"/>
  <c r="M10" i="1"/>
  <c r="L16" i="1"/>
  <c r="F16" i="1"/>
  <c r="G11" i="1" s="1"/>
  <c r="X8" i="1"/>
  <c r="Y4" i="1" s="1"/>
  <c r="R8" i="1"/>
  <c r="S4" i="1" s="1"/>
  <c r="L8" i="1"/>
  <c r="M6" i="1" s="1"/>
  <c r="F8" i="1"/>
  <c r="G4" i="1" s="1"/>
  <c r="Y7" i="1" l="1"/>
  <c r="G22" i="1"/>
  <c r="Y3" i="1"/>
  <c r="Y6" i="1"/>
  <c r="G19" i="1"/>
  <c r="Y5" i="1"/>
  <c r="G24" i="1"/>
  <c r="G23" i="1"/>
  <c r="G10" i="1"/>
  <c r="S10" i="1"/>
  <c r="G21" i="1"/>
  <c r="G15" i="1"/>
  <c r="S15" i="1"/>
  <c r="G14" i="1"/>
  <c r="S14" i="1"/>
  <c r="G13" i="1"/>
  <c r="S13" i="1"/>
  <c r="Y19" i="1"/>
  <c r="G12" i="1"/>
  <c r="S12" i="1"/>
  <c r="M19" i="1"/>
  <c r="Y24" i="1"/>
  <c r="M24" i="1"/>
  <c r="Y23" i="1"/>
  <c r="M5" i="1"/>
  <c r="M4" i="1"/>
  <c r="M3" i="1"/>
  <c r="M7" i="1"/>
  <c r="S3" i="1"/>
  <c r="S7" i="1"/>
  <c r="S6" i="1"/>
  <c r="S5" i="1"/>
  <c r="G5" i="1"/>
  <c r="G3" i="1"/>
  <c r="G7" i="1"/>
  <c r="G6" i="1"/>
  <c r="Y14" i="1"/>
  <c r="Y13" i="1"/>
  <c r="Y12" i="1"/>
</calcChain>
</file>

<file path=xl/sharedStrings.xml><?xml version="1.0" encoding="utf-8"?>
<sst xmlns="http://schemas.openxmlformats.org/spreadsheetml/2006/main" count="225" uniqueCount="36">
  <si>
    <t>y</t>
  </si>
  <si>
    <t>mode</t>
  </si>
  <si>
    <t>type</t>
  </si>
  <si>
    <t>value</t>
  </si>
  <si>
    <t>bus_share</t>
  </si>
  <si>
    <t>Long</t>
  </si>
  <si>
    <t>Medium</t>
  </si>
  <si>
    <t>Short</t>
  </si>
  <si>
    <t>ipt_share</t>
  </si>
  <si>
    <t>ldv_share</t>
  </si>
  <si>
    <t>nmt_share</t>
  </si>
  <si>
    <t>rail_share</t>
  </si>
  <si>
    <t>tw_share</t>
  </si>
  <si>
    <t>BAU</t>
  </si>
  <si>
    <t>COF</t>
  </si>
  <si>
    <t>SF</t>
  </si>
  <si>
    <t>BaU</t>
  </si>
  <si>
    <t>share</t>
  </si>
  <si>
    <t>Bus</t>
  </si>
  <si>
    <t>Rail</t>
  </si>
  <si>
    <t>IPT</t>
  </si>
  <si>
    <t>LDV</t>
  </si>
  <si>
    <t>2-Wheeler</t>
  </si>
  <si>
    <t>city</t>
  </si>
  <si>
    <t>Base</t>
  </si>
  <si>
    <t>large_city</t>
  </si>
  <si>
    <t>rural</t>
  </si>
  <si>
    <t>town</t>
  </si>
  <si>
    <t>BP</t>
  </si>
  <si>
    <t>NP</t>
  </si>
  <si>
    <t>TECH</t>
  </si>
  <si>
    <t>TOD</t>
  </si>
  <si>
    <t>City</t>
  </si>
  <si>
    <t>Large city</t>
  </si>
  <si>
    <t>Town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</si>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</sst>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1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16798190762955"/>
          <c:y val="4.3205616044405933E-2"/>
          <c:w val="0.61165546061031251"/>
          <c:h val="0.754317145763477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Sheet1!$M$29</c:f>
              <c:strCache>
                <c:ptCount val="1"/>
                <c:pt idx="0">
                  <c:v>Bus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Sheet1!$N$28:$R$28</c:f>
              <c:strCache>
                <c:ptCount val="5"/>
                <c:pt idx="0">
                  <c:v>2011</c:v>
                </c:pt>
                <c:pt idx="2">
                  <c:v>BaU</c:v>
                </c:pt>
                <c:pt idx="3">
                  <c:v>COF</c:v>
                </c:pt>
                <c:pt idx="4">
                  <c:v>SF</c:v>
                </c:pt>
              </c:strCache>
            </c:strRef>
          </c:cat>
          <c:val>
            <c:numRef>
              <c:f>Sheet1!$N$29:$R$29</c:f>
              <c:numCache>
                <c:formatCode>General</c:formatCode>
                <c:ptCount val="5"/>
                <c:pt idx="0" formatCode="0%">
                  <c:v>0.54329373005604764</c:v>
                </c:pt>
                <c:pt idx="2" formatCode="0%">
                  <c:v>0.48849980407689819</c:v>
                </c:pt>
                <c:pt idx="3" formatCode="0%">
                  <c:v>0.47319894903239607</c:v>
                </c:pt>
                <c:pt idx="4" formatCode="0%">
                  <c:v>0.52663207690475278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2-4B22-A80B-C513C680CC3F}"/>
            </c:ext>
          </c:extLst>
        </c:ser>
        <c:ser>
          <c:idx val="1"/>
          <c:order val="1"/>
          <c:tx>
            <c:strRef>
              <c:f>Sheet1!$M$30</c:f>
              <c:strCache>
                <c:ptCount val="1"/>
                <c:pt idx="0">
                  <c:v>IPT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Sheet1!$N$28:$R$28</c:f>
              <c:strCache>
                <c:ptCount val="5"/>
                <c:pt idx="0">
                  <c:v>2011</c:v>
                </c:pt>
                <c:pt idx="2">
                  <c:v>BaU</c:v>
                </c:pt>
                <c:pt idx="3">
                  <c:v>COF</c:v>
                </c:pt>
                <c:pt idx="4">
                  <c:v>SF</c:v>
                </c:pt>
              </c:strCache>
            </c:strRef>
          </c:cat>
          <c:val>
            <c:numRef>
              <c:f>Sheet1!$N$30:$R$30</c:f>
              <c:numCache>
                <c:formatCode>General</c:formatCode>
                <c:ptCount val="5"/>
                <c:pt idx="0" formatCode="0%">
                  <c:v>3.9495991315125552E-2</c:v>
                </c:pt>
                <c:pt idx="2" formatCode="0%">
                  <c:v>3.7076293010994472E-2</c:v>
                </c:pt>
                <c:pt idx="3" formatCode="0%">
                  <c:v>3.7182539299487442E-2</c:v>
                </c:pt>
                <c:pt idx="4" formatCode="0%">
                  <c:v>3.1301706978793115E-2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2-4B22-A80B-C513C680CC3F}"/>
            </c:ext>
          </c:extLst>
        </c:ser>
        <c:ser>
          <c:idx val="2"/>
          <c:order val="2"/>
          <c:tx>
            <c:strRef>
              <c:f>Sheet1!$M$31</c:f>
              <c:strCache>
                <c:ptCount val="1"/>
                <c:pt idx="0">
                  <c:v>LDV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Sheet1!$N$28:$R$28</c:f>
              <c:strCache>
                <c:ptCount val="5"/>
                <c:pt idx="0">
                  <c:v>2011</c:v>
                </c:pt>
                <c:pt idx="2">
                  <c:v>BaU</c:v>
                </c:pt>
                <c:pt idx="3">
                  <c:v>COF</c:v>
                </c:pt>
                <c:pt idx="4">
                  <c:v>SF</c:v>
                </c:pt>
              </c:strCache>
            </c:strRef>
          </c:cat>
          <c:val>
            <c:numRef>
              <c:f>Sheet1!$N$31:$R$31</c:f>
              <c:numCache>
                <c:formatCode>General</c:formatCode>
                <c:ptCount val="5"/>
                <c:pt idx="0" formatCode="0%">
                  <c:v>6.6714928979294402E-2</c:v>
                </c:pt>
                <c:pt idx="2" formatCode="0%">
                  <c:v>9.59941693077071E-2</c:v>
                </c:pt>
                <c:pt idx="3" formatCode="0%">
                  <c:v>0.11478038189853611</c:v>
                </c:pt>
                <c:pt idx="4" formatCode="0%">
                  <c:v>7.4187549171548642E-2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2-4B22-A80B-C513C680CC3F}"/>
            </c:ext>
          </c:extLst>
        </c:ser>
        <c:ser>
          <c:idx val="3"/>
          <c:order val="3"/>
          <c:tx>
            <c:strRef>
              <c:f>Sheet1!$M$34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Sheet1!$N$28:$R$28</c:f>
              <c:strCache>
                <c:ptCount val="5"/>
                <c:pt idx="0">
                  <c:v>2011</c:v>
                </c:pt>
                <c:pt idx="2">
                  <c:v>BaU</c:v>
                </c:pt>
                <c:pt idx="3">
                  <c:v>COF</c:v>
                </c:pt>
                <c:pt idx="4">
                  <c:v>SF</c:v>
                </c:pt>
              </c:strCache>
            </c:strRef>
          </c:cat>
          <c:val>
            <c:numRef>
              <c:f>Sheet1!$N$34:$R$34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B7A2-4B22-A80B-C513C680CC3F}"/>
            </c:ext>
          </c:extLst>
        </c:ser>
        <c:ser>
          <c:idx val="4"/>
          <c:order val="4"/>
          <c:tx>
            <c:strRef>
              <c:f>Sheet1!$M$32</c:f>
              <c:strCache>
                <c:ptCount val="1"/>
                <c:pt idx="0">
                  <c:v>Rail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Sheet1!$N$28:$R$28</c:f>
              <c:strCache>
                <c:ptCount val="5"/>
                <c:pt idx="0">
                  <c:v>2011</c:v>
                </c:pt>
                <c:pt idx="2">
                  <c:v>BaU</c:v>
                </c:pt>
                <c:pt idx="3">
                  <c:v>COF</c:v>
                </c:pt>
                <c:pt idx="4">
                  <c:v>SF</c:v>
                </c:pt>
              </c:strCache>
            </c:strRef>
          </c:cat>
          <c:val>
            <c:numRef>
              <c:f>Sheet1!$N$32:$R$32</c:f>
              <c:numCache>
                <c:formatCode>General</c:formatCode>
                <c:ptCount val="5"/>
                <c:pt idx="0" formatCode="0%">
                  <c:v>0.25097260099472884</c:v>
                </c:pt>
                <c:pt idx="2" formatCode="0%">
                  <c:v>0.25142022482512638</c:v>
                </c:pt>
                <c:pt idx="3" formatCode="0%">
                  <c:v>0.24308259099599905</c:v>
                </c:pt>
                <c:pt idx="4" formatCode="0%">
                  <c:v>0.27208304237139241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A2-4B22-A80B-C513C680CC3F}"/>
            </c:ext>
          </c:extLst>
        </c:ser>
        <c:ser>
          <c:idx val="5"/>
          <c:order val="5"/>
          <c:tx>
            <c:strRef>
              <c:f>Sheet1!$M$33</c:f>
              <c:strCache>
                <c:ptCount val="1"/>
                <c:pt idx="0">
                  <c:v>2-Wheeler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Sheet1!$N$28:$R$28</c:f>
              <c:strCache>
                <c:ptCount val="5"/>
                <c:pt idx="0">
                  <c:v>2011</c:v>
                </c:pt>
                <c:pt idx="2">
                  <c:v>BaU</c:v>
                </c:pt>
                <c:pt idx="3">
                  <c:v>COF</c:v>
                </c:pt>
                <c:pt idx="4">
                  <c:v>SF</c:v>
                </c:pt>
              </c:strCache>
            </c:strRef>
          </c:cat>
          <c:val>
            <c:numRef>
              <c:f>Sheet1!$N$33:$R$33</c:f>
              <c:numCache>
                <c:formatCode>General</c:formatCode>
                <c:ptCount val="5"/>
                <c:pt idx="0" formatCode="0%">
                  <c:v>9.9522748654803733E-2</c:v>
                </c:pt>
                <c:pt idx="2" formatCode="0%">
                  <c:v>0.12700950877927375</c:v>
                </c:pt>
                <c:pt idx="3" formatCode="0%">
                  <c:v>0.13175553877358129</c:v>
                </c:pt>
                <c:pt idx="4" formatCode="0%">
                  <c:v>9.5795624573512927E-2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A2-4B22-A80B-C513C680C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20539680"/>
        <c:axId val="1420546880"/>
      </c:barChart>
      <c:catAx>
        <c:axId val="1420539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46880"/>
        <c:crosses val="autoZero"/>
        <c:auto val="1"/>
        <c:lblAlgn val="ctr"/>
        <c:lblOffset val="100"/>
        <c:noMultiLvlLbl val="0"/>
      </c:catAx>
      <c:valAx>
        <c:axId val="14205468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</a:t>
                </a:r>
                <a:r>
                  <a:rPr lang="en-US" baseline="0"/>
                  <a:t> modes in short journeys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Sheet2!$P$6</c:f>
              <c:strCache>
                <c:ptCount val="1"/>
                <c:pt idx="0">
                  <c:v>Large 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Sheet2!$Q$6</c:f>
              <c:numCache>
                <c:formatCode>0</c:formatCode>
                <c:ptCount val="1"/>
                <c:pt idx="0">
                  <c:v>2.1642660167094299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4-4492-B7A1-917DD44AE4F9}"/>
            </c:ext>
          </c:extLst>
        </c:ser>
        <c:ser>
          <c:idx val="1"/>
          <c:order val="1"/>
          <c:tx>
            <c:strRef>
              <c:f>Sheet2!$P$5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Sheet2!$Q$5</c:f>
              <c:numCache>
                <c:formatCode>0</c:formatCode>
                <c:ptCount val="1"/>
                <c:pt idx="0">
                  <c:v>0.79819317669839895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34-4492-B7A1-917DD44AE4F9}"/>
            </c:ext>
          </c:extLst>
        </c:ser>
        <c:ser>
          <c:idx val="2"/>
          <c:order val="2"/>
          <c:tx>
            <c:strRef>
              <c:f>Sheet2!$P$4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Sheet2!$Q$4</c:f>
              <c:numCache>
                <c:formatCode>0</c:formatCode>
                <c:ptCount val="1"/>
                <c:pt idx="0">
                  <c:v>0.86137070846454611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34-4492-B7A1-917DD44AE4F9}"/>
            </c:ext>
          </c:extLst>
        </c:ser>
        <c:ser>
          <c:idx val="3"/>
          <c:order val="3"/>
          <c:tx>
            <c:strRef>
              <c:f>Sheet2!$P$3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Sheet2!$Q$3</c:f>
              <c:numCache>
                <c:formatCode>0</c:formatCode>
                <c:ptCount val="1"/>
                <c:pt idx="0">
                  <c:v>4.8537468887596393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34-4492-B7A1-917DD44AE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3469967"/>
        <c:axId val="1203466607"/>
      </c:barChart>
      <c:catAx>
        <c:axId val="120346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466607"/>
        <c:crosses val="autoZero"/>
        <c:auto val="1"/>
        <c:lblAlgn val="ctr"/>
        <c:lblOffset val="100"/>
        <c:noMultiLvlLbl val="0"/>
      </c:catAx>
      <c:valAx>
        <c:axId val="12034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46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Sheet2!$J$3</c:f>
              <c:strCache>
                <c:ptCount val="1"/>
                <c:pt idx="0">
                  <c:v>Rural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Sheet2!$K$2:$O$2</c:f>
              <c:strCache>
                <c:ptCount val="5"/>
                <c:pt idx="0">
                  <c:v>Base</c:v>
                </c:pt>
                <c:pt idx="1">
                  <c:v>NP</c:v>
                </c:pt>
                <c:pt idx="2">
                  <c:v>BP</c:v>
                </c:pt>
                <c:pt idx="3">
                  <c:v>TECH</c:v>
                </c:pt>
                <c:pt idx="4">
                  <c:v>TOD</c:v>
                </c:pt>
              </c:strCache>
            </c:strRef>
          </c:cat>
          <c:val>
            <c:numRef>
              <c:f>Sheet2!$K$3:$O$3</c:f>
              <c:numCache>
                <c:formatCode>0</c:formatCode>
                <c:ptCount val="5"/>
                <c:pt idx="0">
                  <c:v>7.2245669369743402</c:v>
                </c:pt>
                <c:pt idx="1">
                  <c:v>7.5474738866909696</c:v>
                </c:pt>
                <c:pt idx="2">
                  <c:v>7.5477987919968701</c:v>
                </c:pt>
                <c:pt idx="3">
                  <c:v>6.79446028594539</c:v>
                </c:pt>
                <c:pt idx="4">
                  <c:v>7.5474738866909696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3-459A-8CC2-8085CE7700AD}"/>
            </c:ext>
          </c:extLst>
        </c:ser>
        <c:ser>
          <c:idx val="1"/>
          <c:order val="1"/>
          <c:tx>
            <c:strRef>
              <c:f>Sheet2!$J$4</c:f>
              <c:strCache>
                <c:ptCount val="1"/>
                <c:pt idx="0">
                  <c:v>Town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Sheet2!$K$2:$O$2</c:f>
              <c:strCache>
                <c:ptCount val="5"/>
                <c:pt idx="0">
                  <c:v>Base</c:v>
                </c:pt>
                <c:pt idx="1">
                  <c:v>NP</c:v>
                </c:pt>
                <c:pt idx="2">
                  <c:v>BP</c:v>
                </c:pt>
                <c:pt idx="3">
                  <c:v>TECH</c:v>
                </c:pt>
                <c:pt idx="4">
                  <c:v>TOD</c:v>
                </c:pt>
              </c:strCache>
            </c:strRef>
          </c:cat>
          <c:val>
            <c:numRef>
              <c:f>Sheet2!$K$4:$O$4</c:f>
              <c:numCache>
                <c:formatCode>0</c:formatCode>
                <c:ptCount val="5"/>
                <c:pt idx="0">
                  <c:v>2.7616630586217399</c:v>
                </c:pt>
                <c:pt idx="1">
                  <c:v>2.8538400888033997</c:v>
                </c:pt>
                <c:pt idx="2">
                  <c:v>2.8554650489228801</c:v>
                </c:pt>
                <c:pt idx="3">
                  <c:v>2.6365656443771703</c:v>
                </c:pt>
                <c:pt idx="4">
                  <c:v>2.4423920536495096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3-459A-8CC2-8085CE7700AD}"/>
            </c:ext>
          </c:extLst>
        </c:ser>
        <c:ser>
          <c:idx val="2"/>
          <c:order val="2"/>
          <c:tx>
            <c:strRef>
              <c:f>Sheet2!$J$5</c:f>
              <c:strCache>
                <c:ptCount val="1"/>
                <c:pt idx="0">
                  <c:v>City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Sheet2!$K$2:$O$2</c:f>
              <c:strCache>
                <c:ptCount val="5"/>
                <c:pt idx="0">
                  <c:v>Base</c:v>
                </c:pt>
                <c:pt idx="1">
                  <c:v>NP</c:v>
                </c:pt>
                <c:pt idx="2">
                  <c:v>BP</c:v>
                </c:pt>
                <c:pt idx="3">
                  <c:v>TECH</c:v>
                </c:pt>
                <c:pt idx="4">
                  <c:v>TOD</c:v>
                </c:pt>
              </c:strCache>
            </c:strRef>
          </c:cat>
          <c:val>
            <c:numRef>
              <c:f>Sheet2!$K$5:$O$5</c:f>
              <c:numCache>
                <c:formatCode>0</c:formatCode>
                <c:ptCount val="5"/>
                <c:pt idx="0">
                  <c:v>2.84624484626011</c:v>
                </c:pt>
                <c:pt idx="1">
                  <c:v>2.8455047250692997</c:v>
                </c:pt>
                <c:pt idx="2">
                  <c:v>2.84932463714734</c:v>
                </c:pt>
                <c:pt idx="3">
                  <c:v>2.8032235536368897</c:v>
                </c:pt>
                <c:pt idx="4">
                  <c:v>2.5184601474196597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73-459A-8CC2-8085CE7700AD}"/>
            </c:ext>
          </c:extLst>
        </c:ser>
        <c:ser>
          <c:idx val="3"/>
          <c:order val="3"/>
          <c:tx>
            <c:strRef>
              <c:f>Sheet2!$J$6</c:f>
              <c:strCache>
                <c:ptCount val="1"/>
                <c:pt idx="0">
                  <c:v>Large city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Sheet2!$K$2:$O$2</c:f>
              <c:strCache>
                <c:ptCount val="5"/>
                <c:pt idx="0">
                  <c:v>Base</c:v>
                </c:pt>
                <c:pt idx="1">
                  <c:v>NP</c:v>
                </c:pt>
                <c:pt idx="2">
                  <c:v>BP</c:v>
                </c:pt>
                <c:pt idx="3">
                  <c:v>TECH</c:v>
                </c:pt>
                <c:pt idx="4">
                  <c:v>TOD</c:v>
                </c:pt>
              </c:strCache>
            </c:strRef>
          </c:cat>
          <c:val>
            <c:numRef>
              <c:f>Sheet2!$K$6:$O$6</c:f>
              <c:numCache>
                <c:formatCode>0</c:formatCode>
                <c:ptCount val="5"/>
                <c:pt idx="0">
                  <c:v>9.3251717390158699</c:v>
                </c:pt>
                <c:pt idx="1">
                  <c:v>9.701098533073111</c:v>
                </c:pt>
                <c:pt idx="2">
                  <c:v>9.7419372161946587</c:v>
                </c:pt>
                <c:pt idx="3">
                  <c:v>10.1678654851573</c:v>
                </c:pt>
                <c:pt idx="4">
                  <c:v>8.8931600978902008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73-459A-8CC2-8085CE77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5868383"/>
        <c:axId val="1215866463"/>
      </c:barChart>
      <c:catAx>
        <c:axId val="121586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66463"/>
        <c:crosses val="autoZero"/>
        <c:auto val="1"/>
        <c:lblAlgn val="ctr"/>
        <c:lblOffset val="100"/>
        <c:noMultiLvlLbl val="0"/>
      </c:catAx>
      <c:valAx>
        <c:axId val="121586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86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187324</xdr:colOff>
      <xdr:row>21</xdr:row>
      <xdr:rowOff>19050</xdr:rowOff>
    </xdr:from>
    <xdr:to>
      <xdr:col>30</xdr:col>
      <xdr:colOff>292099</xdr:colOff>
      <xdr:row>42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F951A-13BA-2FCE-A920-C1F3BD561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10</xdr:row>
      <xdr:rowOff>58737</xdr:rowOff>
    </xdr:from>
    <xdr:to>
      <xdr:col>22</xdr:col>
      <xdr:colOff>114300</xdr:colOff>
      <xdr:row>25</xdr:row>
      <xdr:rowOff>84137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0F1B53-35B3-A594-2441-5507AA67C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533400</xdr:colOff>
      <xdr:row>11</xdr:row>
      <xdr:rowOff>157162</xdr:rowOff>
    </xdr:from>
    <xdr:to>
      <xdr:col>18</xdr:col>
      <xdr:colOff>228600</xdr:colOff>
      <xdr:row>27</xdr:row>
      <xdr:rowOff>4762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3578719-8983-BDF2-7964-B9829504B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Y34"/>
  <sheetViews>
    <sheetView topLeftCell="J22" workbookViewId="0">
      <selection activeCell="M28" sqref="M28:R33"/>
    </sheetView>
  </sheetViews>
  <sheetFormatPr defaultRowHeight="14.5" x14ac:dyDescent="0.35"/>
  <cols>
    <col min="24" max="24" width="10.81640625" bestFit="1" customWidth="1"/>
  </cols>
  <sheetData>
    <row r="1" spans="3:25" x14ac:dyDescent="0.35">
      <c r="C1" s="4">
        <v>2011</v>
      </c>
      <c r="D1" s="4"/>
      <c r="E1" s="4"/>
      <c r="F1" s="4"/>
      <c r="G1" s="1"/>
      <c r="H1" s="1"/>
      <c r="I1" s="1" t="s">
        <v>13</v>
      </c>
      <c r="J1" s="1"/>
      <c r="K1" s="1"/>
      <c r="L1" s="1"/>
      <c r="N1" s="4" t="s">
        <v>14</v>
      </c>
      <c r="O1" s="4"/>
      <c r="P1" s="4"/>
      <c r="Q1" s="4"/>
      <c r="R1" s="4"/>
      <c r="T1" s="4" t="s">
        <v>15</v>
      </c>
      <c r="U1" s="4"/>
      <c r="V1" s="4"/>
      <c r="W1" s="4"/>
      <c r="X1" s="4"/>
    </row>
    <row r="2" spans="3:25" x14ac:dyDescent="0.35">
      <c r="C2" t="s">
        <v>0</v>
      </c>
      <c r="D2" t="s">
        <v>1</v>
      </c>
      <c r="E2" t="s">
        <v>2</v>
      </c>
      <c r="F2" t="s">
        <v>3</v>
      </c>
      <c r="G2" t="s">
        <v>17</v>
      </c>
      <c r="I2" t="s">
        <v>0</v>
      </c>
      <c r="J2" t="s">
        <v>1</v>
      </c>
      <c r="K2" t="s">
        <v>2</v>
      </c>
      <c r="L2" t="s">
        <v>3</v>
      </c>
      <c r="M2" s="2"/>
      <c r="O2" t="s">
        <v>0</v>
      </c>
      <c r="P2" t="s">
        <v>1</v>
      </c>
      <c r="Q2" t="s">
        <v>2</v>
      </c>
      <c r="R2" t="s">
        <v>3</v>
      </c>
      <c r="U2" t="s">
        <v>0</v>
      </c>
      <c r="V2" t="s">
        <v>1</v>
      </c>
      <c r="W2" t="s">
        <v>2</v>
      </c>
      <c r="X2" t="s">
        <v>3</v>
      </c>
    </row>
    <row r="3" spans="3:25" x14ac:dyDescent="0.35">
      <c r="C3">
        <v>2011</v>
      </c>
      <c r="D3" t="s">
        <v>4</v>
      </c>
      <c r="E3" t="s">
        <v>5</v>
      </c>
      <c r="F3">
        <v>1808764.2037505801</v>
      </c>
      <c r="G3" s="2">
        <f>F3/$F$8</f>
        <v>0.54329373005604764</v>
      </c>
      <c r="I3">
        <v>2050</v>
      </c>
      <c r="J3" t="s">
        <v>4</v>
      </c>
      <c r="K3" t="s">
        <v>5</v>
      </c>
      <c r="L3">
        <v>4679088.8508985601</v>
      </c>
      <c r="M3" s="2">
        <f>L3/$L$8</f>
        <v>0.48849980407689819</v>
      </c>
      <c r="N3">
        <v>256</v>
      </c>
      <c r="O3">
        <v>2050</v>
      </c>
      <c r="P3" t="s">
        <v>4</v>
      </c>
      <c r="Q3" t="s">
        <v>5</v>
      </c>
      <c r="R3">
        <v>4369261.3662271705</v>
      </c>
      <c r="S3" s="2">
        <f>R3/$R$8</f>
        <v>0.47319894903239607</v>
      </c>
      <c r="T3">
        <v>256</v>
      </c>
      <c r="U3">
        <v>2050</v>
      </c>
      <c r="V3" t="s">
        <v>4</v>
      </c>
      <c r="W3" t="s">
        <v>5</v>
      </c>
      <c r="X3">
        <v>5476344.06223094</v>
      </c>
      <c r="Y3" s="2">
        <f>X3/$X$8</f>
        <v>0.52663207690475278</v>
      </c>
    </row>
    <row r="4" spans="3:25" x14ac:dyDescent="0.35">
      <c r="C4">
        <v>2011</v>
      </c>
      <c r="D4" t="s">
        <v>8</v>
      </c>
      <c r="E4" t="s">
        <v>5</v>
      </c>
      <c r="F4">
        <v>131492.28737661499</v>
      </c>
      <c r="G4" s="2">
        <f t="shared" ref="G4:G7" si="0">F4/$F$8</f>
        <v>3.9495991315125552E-2</v>
      </c>
      <c r="I4">
        <v>2050</v>
      </c>
      <c r="J4" t="s">
        <v>8</v>
      </c>
      <c r="K4" t="s">
        <v>5</v>
      </c>
      <c r="L4">
        <v>355134.77756294701</v>
      </c>
      <c r="M4" s="2">
        <f t="shared" ref="M4:M7" si="1">L4/$L$8</f>
        <v>3.7076293010994472E-2</v>
      </c>
      <c r="N4">
        <v>259</v>
      </c>
      <c r="O4">
        <v>2050</v>
      </c>
      <c r="P4" t="s">
        <v>8</v>
      </c>
      <c r="Q4" t="s">
        <v>5</v>
      </c>
      <c r="R4">
        <v>343323.31631690002</v>
      </c>
      <c r="S4" s="2">
        <f t="shared" ref="S4:S7" si="2">R4/$R$8</f>
        <v>3.7182539299487442E-2</v>
      </c>
      <c r="T4">
        <v>259</v>
      </c>
      <c r="U4">
        <v>2050</v>
      </c>
      <c r="V4" t="s">
        <v>8</v>
      </c>
      <c r="W4" t="s">
        <v>5</v>
      </c>
      <c r="X4">
        <v>325500.33442419698</v>
      </c>
      <c r="Y4" s="2">
        <f t="shared" ref="Y4:Y7" si="3">X4/$X$8</f>
        <v>3.1301706978793115E-2</v>
      </c>
    </row>
    <row r="5" spans="3:25" x14ac:dyDescent="0.35">
      <c r="C5">
        <v>2011</v>
      </c>
      <c r="D5" t="s">
        <v>9</v>
      </c>
      <c r="E5" t="s">
        <v>5</v>
      </c>
      <c r="F5">
        <v>222111.113597908</v>
      </c>
      <c r="G5" s="2">
        <f t="shared" si="0"/>
        <v>6.6714928979294402E-2</v>
      </c>
      <c r="I5">
        <v>2050</v>
      </c>
      <c r="J5" t="s">
        <v>9</v>
      </c>
      <c r="K5" t="s">
        <v>5</v>
      </c>
      <c r="L5">
        <v>919478.86899920797</v>
      </c>
      <c r="M5" s="2">
        <f t="shared" si="1"/>
        <v>9.59941693077071E-2</v>
      </c>
      <c r="N5">
        <v>262</v>
      </c>
      <c r="O5">
        <v>2050</v>
      </c>
      <c r="P5" t="s">
        <v>9</v>
      </c>
      <c r="Q5" t="s">
        <v>5</v>
      </c>
      <c r="R5">
        <v>1059819.5309933799</v>
      </c>
      <c r="S5" s="2">
        <f t="shared" si="2"/>
        <v>0.11478038189853611</v>
      </c>
      <c r="T5">
        <v>262</v>
      </c>
      <c r="U5">
        <v>2050</v>
      </c>
      <c r="V5" t="s">
        <v>9</v>
      </c>
      <c r="W5" t="s">
        <v>5</v>
      </c>
      <c r="X5">
        <v>771461.82736331096</v>
      </c>
      <c r="Y5" s="2">
        <f t="shared" si="3"/>
        <v>7.4187549171548642E-2</v>
      </c>
    </row>
    <row r="6" spans="3:25" x14ac:dyDescent="0.35">
      <c r="C6">
        <v>2011</v>
      </c>
      <c r="D6" t="s">
        <v>11</v>
      </c>
      <c r="E6" t="s">
        <v>5</v>
      </c>
      <c r="F6">
        <v>835552.17313958704</v>
      </c>
      <c r="G6" s="2">
        <f t="shared" si="0"/>
        <v>0.25097260099472884</v>
      </c>
      <c r="I6">
        <v>2050</v>
      </c>
      <c r="J6" t="s">
        <v>11</v>
      </c>
      <c r="K6" t="s">
        <v>5</v>
      </c>
      <c r="L6">
        <v>2408225.2665232802</v>
      </c>
      <c r="M6" s="2">
        <f t="shared" si="1"/>
        <v>0.25142022482512638</v>
      </c>
      <c r="N6">
        <v>267</v>
      </c>
      <c r="O6">
        <v>2050</v>
      </c>
      <c r="P6" t="s">
        <v>11</v>
      </c>
      <c r="Q6" t="s">
        <v>5</v>
      </c>
      <c r="R6">
        <v>2244492.2496404499</v>
      </c>
      <c r="S6" s="2">
        <f t="shared" si="2"/>
        <v>0.24308259099599905</v>
      </c>
      <c r="T6">
        <v>267</v>
      </c>
      <c r="U6">
        <v>2050</v>
      </c>
      <c r="V6" t="s">
        <v>11</v>
      </c>
      <c r="W6" t="s">
        <v>5</v>
      </c>
      <c r="X6">
        <v>2829338.3917702199</v>
      </c>
      <c r="Y6" s="2">
        <f t="shared" si="3"/>
        <v>0.27208304237139241</v>
      </c>
    </row>
    <row r="7" spans="3:25" x14ac:dyDescent="0.35">
      <c r="C7">
        <v>2011</v>
      </c>
      <c r="D7" t="s">
        <v>12</v>
      </c>
      <c r="E7" t="s">
        <v>5</v>
      </c>
      <c r="F7">
        <v>331336.76180489798</v>
      </c>
      <c r="G7" s="2">
        <f t="shared" si="0"/>
        <v>9.9522748654803733E-2</v>
      </c>
      <c r="I7">
        <v>2050</v>
      </c>
      <c r="J7" t="s">
        <v>12</v>
      </c>
      <c r="K7" t="s">
        <v>5</v>
      </c>
      <c r="L7">
        <v>1216558.88401063</v>
      </c>
      <c r="M7" s="2">
        <f t="shared" si="1"/>
        <v>0.12700950877927375</v>
      </c>
      <c r="N7">
        <v>270</v>
      </c>
      <c r="O7">
        <v>2050</v>
      </c>
      <c r="P7" t="s">
        <v>12</v>
      </c>
      <c r="Q7" t="s">
        <v>5</v>
      </c>
      <c r="R7">
        <v>1216558.88401063</v>
      </c>
      <c r="S7" s="2">
        <f t="shared" si="2"/>
        <v>0.13175553877358129</v>
      </c>
      <c r="T7">
        <v>270</v>
      </c>
      <c r="U7">
        <v>2050</v>
      </c>
      <c r="V7" t="s">
        <v>12</v>
      </c>
      <c r="W7" t="s">
        <v>5</v>
      </c>
      <c r="X7">
        <v>996159.98118501098</v>
      </c>
      <c r="Y7" s="2">
        <f t="shared" si="3"/>
        <v>9.5795624573512927E-2</v>
      </c>
    </row>
    <row r="8" spans="3:25" x14ac:dyDescent="0.35">
      <c r="F8">
        <f>SUM(F3:F7)</f>
        <v>3329256.5396695877</v>
      </c>
      <c r="L8">
        <f>SUM(L3:L7)</f>
        <v>9578486.6479946263</v>
      </c>
      <c r="R8">
        <f>SUM(R3:R7)</f>
        <v>9233455.3471885305</v>
      </c>
      <c r="X8">
        <f>SUM(X3:X7)</f>
        <v>10398804.59697368</v>
      </c>
    </row>
    <row r="10" spans="3:25" x14ac:dyDescent="0.35">
      <c r="C10">
        <v>2011</v>
      </c>
      <c r="D10" t="s">
        <v>4</v>
      </c>
      <c r="E10" t="s">
        <v>6</v>
      </c>
      <c r="F10">
        <v>1060630.32745913</v>
      </c>
      <c r="G10" s="2">
        <f>F10/$F$16</f>
        <v>0.37082318586531426</v>
      </c>
      <c r="I10">
        <v>2050</v>
      </c>
      <c r="J10" t="s">
        <v>4</v>
      </c>
      <c r="K10" t="s">
        <v>6</v>
      </c>
      <c r="L10">
        <v>2642074.0029656198</v>
      </c>
      <c r="M10" s="2">
        <f>L10/$L$16</f>
        <v>0.34874871879324465</v>
      </c>
      <c r="N10">
        <v>257</v>
      </c>
      <c r="O10">
        <v>2050</v>
      </c>
      <c r="P10" t="s">
        <v>4</v>
      </c>
      <c r="Q10" t="s">
        <v>6</v>
      </c>
      <c r="R10">
        <v>2467301.4045047099</v>
      </c>
      <c r="S10" s="2">
        <f>R10/$R$16</f>
        <v>0.33099916245647343</v>
      </c>
      <c r="T10">
        <v>257</v>
      </c>
      <c r="U10">
        <v>2050</v>
      </c>
      <c r="V10" t="s">
        <v>4</v>
      </c>
      <c r="W10" t="s">
        <v>6</v>
      </c>
      <c r="X10">
        <v>3092031.7807456502</v>
      </c>
      <c r="Y10" s="2">
        <f>X10/$X$16</f>
        <v>0.41182373667164812</v>
      </c>
    </row>
    <row r="11" spans="3:25" x14ac:dyDescent="0.35">
      <c r="C11">
        <v>2011</v>
      </c>
      <c r="D11" t="s">
        <v>8</v>
      </c>
      <c r="E11" t="s">
        <v>6</v>
      </c>
      <c r="F11">
        <v>157523.08655140601</v>
      </c>
      <c r="G11" s="2">
        <f t="shared" ref="G11:G15" si="4">F11/$F$16</f>
        <v>5.5074054823857459E-2</v>
      </c>
      <c r="I11">
        <v>2050</v>
      </c>
      <c r="J11" t="s">
        <v>8</v>
      </c>
      <c r="K11" t="s">
        <v>6</v>
      </c>
      <c r="L11">
        <v>316472.12032437598</v>
      </c>
      <c r="M11" s="2">
        <f t="shared" ref="M11:M15" si="5">L11/$L$16</f>
        <v>4.1773715033349833E-2</v>
      </c>
      <c r="N11">
        <v>260</v>
      </c>
      <c r="O11">
        <v>2050</v>
      </c>
      <c r="P11" t="s">
        <v>8</v>
      </c>
      <c r="Q11" t="s">
        <v>6</v>
      </c>
      <c r="R11">
        <v>305948.460754956</v>
      </c>
      <c r="S11" s="2">
        <f t="shared" ref="S11:S15" si="6">R11/$R$16</f>
        <v>4.1044310224865495E-2</v>
      </c>
      <c r="T11">
        <v>260</v>
      </c>
      <c r="U11">
        <v>2050</v>
      </c>
      <c r="V11" t="s">
        <v>8</v>
      </c>
      <c r="W11" t="s">
        <v>6</v>
      </c>
      <c r="X11">
        <v>290069.36647177202</v>
      </c>
      <c r="Y11" s="2">
        <f t="shared" ref="Y11:Y15" si="7">X11/$X$16</f>
        <v>3.8633965904960856E-2</v>
      </c>
    </row>
    <row r="12" spans="3:25" x14ac:dyDescent="0.35">
      <c r="C12">
        <v>2011</v>
      </c>
      <c r="D12" t="s">
        <v>9</v>
      </c>
      <c r="E12" t="s">
        <v>6</v>
      </c>
      <c r="F12">
        <v>232598.88412907199</v>
      </c>
      <c r="G12" s="2">
        <f t="shared" si="4"/>
        <v>8.1322452327088679E-2</v>
      </c>
      <c r="I12">
        <v>2050</v>
      </c>
      <c r="J12" t="s">
        <v>9</v>
      </c>
      <c r="K12" t="s">
        <v>6</v>
      </c>
      <c r="L12">
        <v>928510.07623407198</v>
      </c>
      <c r="M12" s="2">
        <f t="shared" si="5"/>
        <v>0.12256155547111078</v>
      </c>
      <c r="N12">
        <v>263</v>
      </c>
      <c r="O12">
        <v>2050</v>
      </c>
      <c r="P12" t="s">
        <v>9</v>
      </c>
      <c r="Q12" t="s">
        <v>6</v>
      </c>
      <c r="R12">
        <v>1069677.60163519</v>
      </c>
      <c r="S12" s="2">
        <f t="shared" si="6"/>
        <v>0.14350188006753561</v>
      </c>
      <c r="T12">
        <v>263</v>
      </c>
      <c r="U12">
        <v>2050</v>
      </c>
      <c r="V12" t="s">
        <v>9</v>
      </c>
      <c r="W12" t="s">
        <v>6</v>
      </c>
      <c r="X12">
        <v>779609.29503665597</v>
      </c>
      <c r="Y12" s="2">
        <f t="shared" si="7"/>
        <v>0.10383515946544389</v>
      </c>
    </row>
    <row r="13" spans="3:25" x14ac:dyDescent="0.35">
      <c r="C13">
        <v>2011</v>
      </c>
      <c r="D13" t="s">
        <v>10</v>
      </c>
      <c r="E13" t="s">
        <v>6</v>
      </c>
      <c r="F13">
        <v>610804.90812033205</v>
      </c>
      <c r="G13" s="2">
        <f t="shared" si="4"/>
        <v>0.21355284316069115</v>
      </c>
      <c r="I13">
        <v>2050</v>
      </c>
      <c r="J13" t="s">
        <v>10</v>
      </c>
      <c r="K13" t="s">
        <v>6</v>
      </c>
      <c r="L13">
        <v>1029457.9475199101</v>
      </c>
      <c r="M13" s="2">
        <f t="shared" si="5"/>
        <v>0.13588648154673347</v>
      </c>
      <c r="N13">
        <v>265</v>
      </c>
      <c r="O13">
        <v>2050</v>
      </c>
      <c r="P13" t="s">
        <v>10</v>
      </c>
      <c r="Q13" t="s">
        <v>6</v>
      </c>
      <c r="R13">
        <v>995140.00470169797</v>
      </c>
      <c r="S13" s="2">
        <f t="shared" si="6"/>
        <v>0.13350233882321946</v>
      </c>
      <c r="T13">
        <v>265</v>
      </c>
      <c r="U13">
        <v>2050</v>
      </c>
      <c r="V13" t="s">
        <v>10</v>
      </c>
      <c r="W13" t="s">
        <v>6</v>
      </c>
      <c r="X13">
        <v>943419.31607463094</v>
      </c>
      <c r="Y13" s="2">
        <f t="shared" si="7"/>
        <v>0.12565280551559277</v>
      </c>
    </row>
    <row r="14" spans="3:25" x14ac:dyDescent="0.35">
      <c r="C14">
        <v>2011</v>
      </c>
      <c r="D14" t="s">
        <v>11</v>
      </c>
      <c r="E14" t="s">
        <v>6</v>
      </c>
      <c r="F14">
        <v>206185.318026928</v>
      </c>
      <c r="G14" s="2">
        <f t="shared" si="4"/>
        <v>7.2087601617581196E-2</v>
      </c>
      <c r="I14">
        <v>2050</v>
      </c>
      <c r="J14" t="s">
        <v>11</v>
      </c>
      <c r="K14" t="s">
        <v>6</v>
      </c>
      <c r="L14">
        <v>635439.23995574797</v>
      </c>
      <c r="M14" s="2">
        <f t="shared" si="5"/>
        <v>8.3876765206717774E-2</v>
      </c>
      <c r="N14">
        <v>268</v>
      </c>
      <c r="O14">
        <v>2050</v>
      </c>
      <c r="P14" t="s">
        <v>11</v>
      </c>
      <c r="Q14" t="s">
        <v>6</v>
      </c>
      <c r="R14">
        <v>592120.30332782306</v>
      </c>
      <c r="S14" s="2">
        <f t="shared" si="6"/>
        <v>7.9435501522898064E-2</v>
      </c>
      <c r="T14">
        <v>268</v>
      </c>
      <c r="U14">
        <v>2050</v>
      </c>
      <c r="V14" t="s">
        <v>11</v>
      </c>
      <c r="W14" t="s">
        <v>6</v>
      </c>
      <c r="X14">
        <v>746840.67869247706</v>
      </c>
      <c r="Y14" s="2">
        <f t="shared" si="7"/>
        <v>9.9470749593445401E-2</v>
      </c>
    </row>
    <row r="15" spans="3:25" x14ac:dyDescent="0.35">
      <c r="C15">
        <v>2011</v>
      </c>
      <c r="D15" t="s">
        <v>12</v>
      </c>
      <c r="E15" t="s">
        <v>6</v>
      </c>
      <c r="F15">
        <v>592462.46797690797</v>
      </c>
      <c r="G15" s="2">
        <f t="shared" si="4"/>
        <v>0.20713986220546718</v>
      </c>
      <c r="I15">
        <v>2050</v>
      </c>
      <c r="J15" t="s">
        <v>12</v>
      </c>
      <c r="K15" t="s">
        <v>6</v>
      </c>
      <c r="L15">
        <v>2023913.8795750099</v>
      </c>
      <c r="M15" s="2">
        <f t="shared" si="5"/>
        <v>0.26715276394884335</v>
      </c>
      <c r="N15">
        <v>271</v>
      </c>
      <c r="O15">
        <v>2050</v>
      </c>
      <c r="P15" t="s">
        <v>12</v>
      </c>
      <c r="Q15" t="s">
        <v>6</v>
      </c>
      <c r="R15">
        <v>2023913.8795750099</v>
      </c>
      <c r="S15" s="2">
        <f t="shared" si="6"/>
        <v>0.2715168069050079</v>
      </c>
      <c r="T15">
        <v>271</v>
      </c>
      <c r="U15">
        <v>2050</v>
      </c>
      <c r="V15" t="s">
        <v>12</v>
      </c>
      <c r="W15" t="s">
        <v>6</v>
      </c>
      <c r="X15">
        <v>1656173.2307901799</v>
      </c>
      <c r="Y15" s="2">
        <f t="shared" si="7"/>
        <v>0.220583582848909</v>
      </c>
    </row>
    <row r="16" spans="3:25" x14ac:dyDescent="0.35">
      <c r="F16">
        <f>SUM(F10:F15)</f>
        <v>2860204.9922637763</v>
      </c>
      <c r="L16">
        <f>SUM(L10:L15)</f>
        <v>7575867.2665747367</v>
      </c>
      <c r="R16">
        <f>SUM(R10:R15)</f>
        <v>7454101.6544993874</v>
      </c>
      <c r="X16">
        <f>SUM(X10:X15)</f>
        <v>7508143.6678113658</v>
      </c>
    </row>
    <row r="19" spans="3:25" x14ac:dyDescent="0.35">
      <c r="C19">
        <v>2011</v>
      </c>
      <c r="D19" t="s">
        <v>4</v>
      </c>
      <c r="E19" t="s">
        <v>7</v>
      </c>
      <c r="F19">
        <v>438247.16910525801</v>
      </c>
      <c r="G19" s="2">
        <f>F19/$F$25</f>
        <v>0.17139567800996852</v>
      </c>
      <c r="I19">
        <v>2050</v>
      </c>
      <c r="J19" t="s">
        <v>4</v>
      </c>
      <c r="K19" t="s">
        <v>7</v>
      </c>
      <c r="L19">
        <v>1313929.7308493</v>
      </c>
      <c r="M19" s="2">
        <f>L19/$L$25</f>
        <v>0.18957710261978428</v>
      </c>
      <c r="N19">
        <v>258</v>
      </c>
      <c r="O19">
        <v>2050</v>
      </c>
      <c r="P19" t="s">
        <v>4</v>
      </c>
      <c r="Q19" t="s">
        <v>7</v>
      </c>
      <c r="R19">
        <v>1226822.2777996899</v>
      </c>
      <c r="S19" s="2">
        <f>R19/$R$25</f>
        <v>0.18049477249961002</v>
      </c>
      <c r="T19">
        <v>258</v>
      </c>
      <c r="U19">
        <v>2050</v>
      </c>
      <c r="V19" t="s">
        <v>4</v>
      </c>
      <c r="W19" t="s">
        <v>7</v>
      </c>
      <c r="X19">
        <v>1538181.8819671599</v>
      </c>
      <c r="Y19" s="2">
        <f>X19/$X$25</f>
        <v>0.23671640980715339</v>
      </c>
    </row>
    <row r="20" spans="3:25" x14ac:dyDescent="0.35">
      <c r="C20">
        <v>2011</v>
      </c>
      <c r="D20" t="s">
        <v>8</v>
      </c>
      <c r="E20" t="s">
        <v>7</v>
      </c>
      <c r="F20">
        <v>126379.98738473099</v>
      </c>
      <c r="G20" s="2">
        <f t="shared" ref="G20:G24" si="8">F20/$F$25</f>
        <v>4.9426408546850674E-2</v>
      </c>
      <c r="I20">
        <v>2050</v>
      </c>
      <c r="J20" t="s">
        <v>8</v>
      </c>
      <c r="K20" t="s">
        <v>7</v>
      </c>
      <c r="L20">
        <v>301422.92496352299</v>
      </c>
      <c r="M20" s="2">
        <f t="shared" ref="M20:M24" si="9">L20/$L$25</f>
        <v>4.3490061482077298E-2</v>
      </c>
      <c r="N20">
        <v>261</v>
      </c>
      <c r="O20">
        <v>2050</v>
      </c>
      <c r="P20" t="s">
        <v>8</v>
      </c>
      <c r="Q20" t="s">
        <v>7</v>
      </c>
      <c r="R20">
        <v>291384.92962720699</v>
      </c>
      <c r="S20" s="2">
        <f t="shared" ref="S20:S24" si="10">R20/$R$25</f>
        <v>4.2869662162643603E-2</v>
      </c>
      <c r="T20">
        <v>261</v>
      </c>
      <c r="U20">
        <v>2050</v>
      </c>
      <c r="V20" t="s">
        <v>8</v>
      </c>
      <c r="W20" t="s">
        <v>7</v>
      </c>
      <c r="X20">
        <v>276248.26900044398</v>
      </c>
      <c r="Y20" s="2">
        <f t="shared" ref="Y20:Y24" si="11">X20/$X$25</f>
        <v>4.2512851841419605E-2</v>
      </c>
    </row>
    <row r="21" spans="3:25" x14ac:dyDescent="0.35">
      <c r="C21">
        <v>2011</v>
      </c>
      <c r="D21" t="s">
        <v>9</v>
      </c>
      <c r="E21" t="s">
        <v>7</v>
      </c>
      <c r="F21">
        <v>104473.579300008</v>
      </c>
      <c r="G21" s="2">
        <f t="shared" si="8"/>
        <v>4.0858951798391087E-2</v>
      </c>
      <c r="I21">
        <v>2050</v>
      </c>
      <c r="J21" t="s">
        <v>9</v>
      </c>
      <c r="K21" t="s">
        <v>7</v>
      </c>
      <c r="L21">
        <v>432656.937436354</v>
      </c>
      <c r="M21" s="2">
        <f t="shared" si="9"/>
        <v>6.2424836505157587E-2</v>
      </c>
      <c r="N21">
        <v>264</v>
      </c>
      <c r="O21">
        <v>2050</v>
      </c>
      <c r="P21" t="s">
        <v>9</v>
      </c>
      <c r="Q21" t="s">
        <v>7</v>
      </c>
      <c r="R21">
        <v>498548.84217121702</v>
      </c>
      <c r="S21" s="2">
        <f t="shared" si="10"/>
        <v>7.3348407080630326E-2</v>
      </c>
      <c r="T21">
        <v>264</v>
      </c>
      <c r="U21">
        <v>2050</v>
      </c>
      <c r="V21" t="s">
        <v>9</v>
      </c>
      <c r="W21" t="s">
        <v>7</v>
      </c>
      <c r="X21">
        <v>363157.84786320402</v>
      </c>
      <c r="Y21" s="2">
        <f t="shared" si="11"/>
        <v>5.5887683340496805E-2</v>
      </c>
    </row>
    <row r="22" spans="3:25" x14ac:dyDescent="0.35">
      <c r="C22">
        <v>2011</v>
      </c>
      <c r="D22" t="s">
        <v>10</v>
      </c>
      <c r="E22" t="s">
        <v>7</v>
      </c>
      <c r="F22">
        <v>1352809.4822817401</v>
      </c>
      <c r="G22" s="2">
        <f t="shared" si="8"/>
        <v>0.52907517670309001</v>
      </c>
      <c r="I22">
        <v>2050</v>
      </c>
      <c r="J22" t="s">
        <v>10</v>
      </c>
      <c r="K22" t="s">
        <v>7</v>
      </c>
      <c r="L22">
        <v>2796867.5621818299</v>
      </c>
      <c r="M22" s="2">
        <f t="shared" si="9"/>
        <v>0.40353912115754081</v>
      </c>
      <c r="N22">
        <v>266</v>
      </c>
      <c r="O22">
        <v>2050</v>
      </c>
      <c r="P22" t="s">
        <v>10</v>
      </c>
      <c r="Q22" t="s">
        <v>7</v>
      </c>
      <c r="R22">
        <v>2703597.7030442101</v>
      </c>
      <c r="S22" s="2">
        <f t="shared" si="10"/>
        <v>0.39776360535010513</v>
      </c>
      <c r="T22">
        <v>266</v>
      </c>
      <c r="U22">
        <v>2050</v>
      </c>
      <c r="V22" t="s">
        <v>10</v>
      </c>
      <c r="W22" t="s">
        <v>7</v>
      </c>
      <c r="X22">
        <v>2563032.3615890299</v>
      </c>
      <c r="Y22" s="2">
        <f t="shared" si="11"/>
        <v>0.39443438124429697</v>
      </c>
    </row>
    <row r="23" spans="3:25" x14ac:dyDescent="0.35">
      <c r="C23">
        <v>2011</v>
      </c>
      <c r="D23" t="s">
        <v>11</v>
      </c>
      <c r="E23" t="s">
        <v>7</v>
      </c>
      <c r="F23">
        <v>41171.896482685501</v>
      </c>
      <c r="G23" s="2">
        <f t="shared" si="8"/>
        <v>1.6102066619194177E-2</v>
      </c>
      <c r="I23">
        <v>2050</v>
      </c>
      <c r="J23" t="s">
        <v>11</v>
      </c>
      <c r="K23" t="s">
        <v>7</v>
      </c>
      <c r="L23">
        <v>137138.75872707099</v>
      </c>
      <c r="M23" s="2">
        <f t="shared" si="9"/>
        <v>1.9786726737317153E-2</v>
      </c>
      <c r="N23">
        <v>269</v>
      </c>
      <c r="O23">
        <v>2050</v>
      </c>
      <c r="P23" t="s">
        <v>11</v>
      </c>
      <c r="Q23" t="s">
        <v>7</v>
      </c>
      <c r="R23">
        <v>127812.18893689899</v>
      </c>
      <c r="S23" s="2">
        <f t="shared" si="10"/>
        <v>1.8804216700578559E-2</v>
      </c>
      <c r="T23">
        <v>269</v>
      </c>
      <c r="U23">
        <v>2050</v>
      </c>
      <c r="V23" t="s">
        <v>11</v>
      </c>
      <c r="W23" t="s">
        <v>7</v>
      </c>
      <c r="X23">
        <v>161126.38785854899</v>
      </c>
      <c r="Y23" s="2">
        <f t="shared" si="11"/>
        <v>2.4796326433316383E-2</v>
      </c>
    </row>
    <row r="24" spans="3:25" x14ac:dyDescent="0.35">
      <c r="C24">
        <v>2011</v>
      </c>
      <c r="D24" t="s">
        <v>12</v>
      </c>
      <c r="E24" t="s">
        <v>7</v>
      </c>
      <c r="F24">
        <v>493850.32501251402</v>
      </c>
      <c r="G24" s="2">
        <f t="shared" si="8"/>
        <v>0.19314171832250546</v>
      </c>
      <c r="I24">
        <v>2050</v>
      </c>
      <c r="J24" t="s">
        <v>12</v>
      </c>
      <c r="K24" t="s">
        <v>7</v>
      </c>
      <c r="L24">
        <v>1948830.2307190101</v>
      </c>
      <c r="M24" s="2">
        <f t="shared" si="9"/>
        <v>0.28118215149812287</v>
      </c>
      <c r="N24">
        <v>272</v>
      </c>
      <c r="O24">
        <v>2050</v>
      </c>
      <c r="P24" t="s">
        <v>12</v>
      </c>
      <c r="Q24" t="s">
        <v>7</v>
      </c>
      <c r="R24">
        <v>1948830.2307190101</v>
      </c>
      <c r="S24" s="2">
        <f t="shared" si="10"/>
        <v>0.2867193362064322</v>
      </c>
      <c r="T24">
        <v>272</v>
      </c>
      <c r="U24">
        <v>2050</v>
      </c>
      <c r="V24" t="s">
        <v>12</v>
      </c>
      <c r="W24" t="s">
        <v>7</v>
      </c>
      <c r="X24">
        <v>1596247.55308955</v>
      </c>
      <c r="Y24" s="2">
        <f t="shared" si="11"/>
        <v>0.24565234733331687</v>
      </c>
    </row>
    <row r="25" spans="3:25" x14ac:dyDescent="0.35">
      <c r="F25">
        <f>SUM(F19:F24)</f>
        <v>2556932.4395669368</v>
      </c>
      <c r="L25">
        <f>SUM(L19:L24)</f>
        <v>6930846.1448770883</v>
      </c>
      <c r="R25">
        <f>SUM(R19:R24)</f>
        <v>6796996.172298234</v>
      </c>
      <c r="X25">
        <f>SUM(X19:X24)</f>
        <v>6497994.3013679367</v>
      </c>
    </row>
    <row r="28" spans="3:25" x14ac:dyDescent="0.35">
      <c r="N28">
        <v>2011</v>
      </c>
      <c r="P28" t="s">
        <v>16</v>
      </c>
      <c r="Q28" t="s">
        <v>14</v>
      </c>
      <c r="R28" t="s">
        <v>15</v>
      </c>
    </row>
    <row r="29" spans="3:25" x14ac:dyDescent="0.35">
      <c r="M29" t="s">
        <v>18</v>
      </c>
      <c r="N29" s="2">
        <v>0.54329373005604764</v>
      </c>
      <c r="P29" s="2">
        <v>0.48849980407689819</v>
      </c>
      <c r="Q29" s="2">
        <v>0.47319894903239607</v>
      </c>
      <c r="R29" s="2">
        <v>0.52663207690475278</v>
      </c>
    </row>
    <row r="30" spans="3:25" x14ac:dyDescent="0.35">
      <c r="M30" t="s">
        <v>20</v>
      </c>
      <c r="N30" s="2">
        <v>3.9495991315125552E-2</v>
      </c>
      <c r="P30" s="2">
        <v>3.7076293010994472E-2</v>
      </c>
      <c r="Q30" s="2">
        <v>3.7182539299487442E-2</v>
      </c>
      <c r="R30" s="2">
        <v>3.1301706978793115E-2</v>
      </c>
    </row>
    <row r="31" spans="3:25" x14ac:dyDescent="0.35">
      <c r="M31" t="s">
        <v>21</v>
      </c>
      <c r="N31" s="2">
        <v>6.6714928979294402E-2</v>
      </c>
      <c r="P31" s="2">
        <v>9.59941693077071E-2</v>
      </c>
      <c r="Q31" s="2">
        <v>0.11478038189853611</v>
      </c>
      <c r="R31" s="2">
        <v>7.4187549171548642E-2</v>
      </c>
    </row>
    <row r="32" spans="3:25" x14ac:dyDescent="0.35">
      <c r="M32" t="s">
        <v>19</v>
      </c>
      <c r="N32" s="2">
        <v>0.25097260099472884</v>
      </c>
      <c r="P32" s="2">
        <v>0.25142022482512638</v>
      </c>
      <c r="Q32" s="2">
        <v>0.24308259099599905</v>
      </c>
      <c r="R32" s="2">
        <v>0.27208304237139241</v>
      </c>
    </row>
    <row r="33" spans="13:18" x14ac:dyDescent="0.35">
      <c r="M33" t="s">
        <v>22</v>
      </c>
      <c r="N33" s="2">
        <v>9.9522748654803733E-2</v>
      </c>
      <c r="P33" s="2">
        <v>0.12700950877927375</v>
      </c>
      <c r="Q33" s="2">
        <v>0.13175553877358129</v>
      </c>
      <c r="R33" s="2">
        <v>9.5795624573512927E-2</v>
      </c>
    </row>
    <row r="34" spans="13:18" x14ac:dyDescent="0.35">
      <c r="N34" s="2"/>
      <c r="P34" s="2"/>
      <c r="Q34" s="2"/>
      <c r="R34" s="2"/>
    </row>
  </sheetData>
  <sortState xmlns:xlrd2="http://schemas.microsoft.com/office/spreadsheetml/2017/richdata2" ref="N3:R24">
    <sortCondition ref="Q2:Q24"/>
  </sortState>
  <mergeCells count="3">
    <mergeCell ref="C1:F1"/>
    <mergeCell ref="N1:R1"/>
    <mergeCell ref="T1:X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8E566-5F6D-468D-B854-CCA902EB6E7A}">
  <dimension ref="B1:Q24"/>
  <sheetViews>
    <sheetView tabSelected="1" topLeftCell="A7" workbookViewId="0">
      <selection activeCell="O4" sqref="O4"/>
    </sheetView>
  </sheetViews>
  <sheetFormatPr defaultRowHeight="14.5" x14ac:dyDescent="0.35"/>
  <sheetData>
    <row r="1" spans="2:17" x14ac:dyDescent="0.35">
      <c r="B1">
        <v>0</v>
      </c>
      <c r="C1">
        <v>2011</v>
      </c>
      <c r="D1" t="s">
        <v>23</v>
      </c>
      <c r="E1" t="s">
        <v>24</v>
      </c>
      <c r="F1">
        <v>798193.17669839901</v>
      </c>
      <c r="G1">
        <f>F1/1000000</f>
        <v>0.79819317669839895</v>
      </c>
      <c r="H1">
        <v>0.79819317669839895</v>
      </c>
      <c r="M1">
        <v>2050</v>
      </c>
      <c r="Q1">
        <v>2011</v>
      </c>
    </row>
    <row r="2" spans="2:17" x14ac:dyDescent="0.35">
      <c r="B2">
        <v>1</v>
      </c>
      <c r="C2">
        <v>2011</v>
      </c>
      <c r="D2" t="s">
        <v>25</v>
      </c>
      <c r="E2" t="s">
        <v>24</v>
      </c>
      <c r="F2">
        <v>1992649.6403591901</v>
      </c>
      <c r="G2">
        <f>F2/1000000</f>
        <v>1.99264964035919</v>
      </c>
      <c r="H2">
        <v>1.99264964035919</v>
      </c>
      <c r="K2" t="s">
        <v>24</v>
      </c>
      <c r="L2" t="s">
        <v>29</v>
      </c>
      <c r="M2" t="s">
        <v>28</v>
      </c>
      <c r="N2" t="s">
        <v>30</v>
      </c>
      <c r="O2" t="s">
        <v>31</v>
      </c>
    </row>
    <row r="3" spans="2:17" x14ac:dyDescent="0.35">
      <c r="B3">
        <v>2</v>
      </c>
      <c r="C3">
        <v>2011</v>
      </c>
      <c r="D3" t="s">
        <v>26</v>
      </c>
      <c r="E3" t="s">
        <v>24</v>
      </c>
      <c r="F3">
        <v>4467493.1722152596</v>
      </c>
      <c r="G3">
        <f>F3/1000000</f>
        <v>4.46749317221526</v>
      </c>
      <c r="H3">
        <v>4.46749317221526</v>
      </c>
      <c r="J3" t="s">
        <v>35</v>
      </c>
      <c r="K3" s="3">
        <v>7.2245669369743402</v>
      </c>
      <c r="L3" s="3">
        <v>7.5474738866909696</v>
      </c>
      <c r="M3" s="3">
        <v>7.5477987919968701</v>
      </c>
      <c r="N3" s="3">
        <v>6.79446028594539</v>
      </c>
      <c r="O3" s="3">
        <v>7.5474738866909696</v>
      </c>
      <c r="P3" t="s">
        <v>35</v>
      </c>
      <c r="Q3" s="3">
        <v>4.8537468887596393</v>
      </c>
    </row>
    <row r="4" spans="2:17" x14ac:dyDescent="0.35">
      <c r="B4">
        <v>3</v>
      </c>
      <c r="C4">
        <v>2011</v>
      </c>
      <c r="D4" t="s">
        <v>27</v>
      </c>
      <c r="E4" t="s">
        <v>24</v>
      </c>
      <c r="F4">
        <v>792910.798362153</v>
      </c>
      <c r="G4">
        <f>F4/1000000</f>
        <v>0.79291079836215295</v>
      </c>
      <c r="H4">
        <v>0.79291079836215295</v>
      </c>
      <c r="J4" t="s">
        <v>34</v>
      </c>
      <c r="K4" s="3">
        <v>2.7616630586217399</v>
      </c>
      <c r="L4" s="3">
        <v>2.8538400888033997</v>
      </c>
      <c r="M4" s="3">
        <v>2.8554650489228801</v>
      </c>
      <c r="N4" s="3">
        <v>2.6365656443771703</v>
      </c>
      <c r="O4" s="3">
        <v>2.4423920536495096</v>
      </c>
      <c r="P4" t="s">
        <v>34</v>
      </c>
      <c r="Q4" s="3">
        <v>0.86137070846454611</v>
      </c>
    </row>
    <row r="5" spans="2:17" x14ac:dyDescent="0.35">
      <c r="B5">
        <v>5</v>
      </c>
      <c r="C5">
        <v>2050</v>
      </c>
      <c r="D5" t="s">
        <v>23</v>
      </c>
      <c r="E5" t="s">
        <v>24</v>
      </c>
      <c r="F5">
        <v>2846244.8462601099</v>
      </c>
      <c r="G5">
        <f>F5/1000000</f>
        <v>2.84624484626011</v>
      </c>
      <c r="H5">
        <v>2.84624484626011</v>
      </c>
      <c r="J5" t="s">
        <v>32</v>
      </c>
      <c r="K5" s="3">
        <v>2.84624484626011</v>
      </c>
      <c r="L5" s="3">
        <v>2.8455047250692997</v>
      </c>
      <c r="M5" s="3">
        <v>2.84932463714734</v>
      </c>
      <c r="N5" s="3">
        <v>2.8032235536368897</v>
      </c>
      <c r="O5" s="3">
        <v>2.5184601474196597</v>
      </c>
      <c r="P5" t="s">
        <v>32</v>
      </c>
      <c r="Q5" s="3">
        <v>0.79819317669839895</v>
      </c>
    </row>
    <row r="6" spans="2:17" x14ac:dyDescent="0.35">
      <c r="B6">
        <v>10</v>
      </c>
      <c r="C6">
        <v>2050</v>
      </c>
      <c r="D6" t="s">
        <v>25</v>
      </c>
      <c r="E6" t="s">
        <v>24</v>
      </c>
      <c r="F6">
        <v>9325171.7390158698</v>
      </c>
      <c r="G6">
        <f>F6/1000000</f>
        <v>9.3251717390158699</v>
      </c>
      <c r="H6">
        <v>9.3251717390158699</v>
      </c>
      <c r="J6" t="s">
        <v>33</v>
      </c>
      <c r="K6" s="3">
        <v>9.3251717390158699</v>
      </c>
      <c r="L6" s="3">
        <v>9.701098533073111</v>
      </c>
      <c r="M6" s="3">
        <v>9.7419372161946587</v>
      </c>
      <c r="N6" s="3">
        <v>10.1678654851573</v>
      </c>
      <c r="O6" s="3">
        <v>8.8931600978902008</v>
      </c>
      <c r="P6" t="s">
        <v>33</v>
      </c>
      <c r="Q6" s="3">
        <v>2.1642660167094299</v>
      </c>
    </row>
    <row r="7" spans="2:17" x14ac:dyDescent="0.35">
      <c r="B7">
        <v>15</v>
      </c>
      <c r="C7">
        <v>2050</v>
      </c>
      <c r="D7" t="s">
        <v>26</v>
      </c>
      <c r="E7" t="s">
        <v>24</v>
      </c>
      <c r="F7">
        <v>7224566.9369743401</v>
      </c>
      <c r="G7">
        <f>F7/1000000</f>
        <v>7.2245669369743402</v>
      </c>
      <c r="H7">
        <v>7.2245669369743402</v>
      </c>
    </row>
    <row r="8" spans="2:17" x14ac:dyDescent="0.35">
      <c r="B8">
        <v>20</v>
      </c>
      <c r="C8">
        <v>2050</v>
      </c>
      <c r="D8" t="s">
        <v>27</v>
      </c>
      <c r="E8" t="s">
        <v>24</v>
      </c>
      <c r="F8">
        <v>2761663.05862174</v>
      </c>
      <c r="G8">
        <f>F8/1000000</f>
        <v>2.7616630586217399</v>
      </c>
      <c r="H8">
        <v>2.7616630586217399</v>
      </c>
    </row>
    <row r="9" spans="2:17" x14ac:dyDescent="0.35">
      <c r="B9">
        <v>4</v>
      </c>
      <c r="C9">
        <v>2050</v>
      </c>
      <c r="D9" t="s">
        <v>23</v>
      </c>
      <c r="E9" t="s">
        <v>28</v>
      </c>
      <c r="F9">
        <v>2849324.63714734</v>
      </c>
      <c r="G9">
        <f>F9/1000000</f>
        <v>2.84932463714734</v>
      </c>
      <c r="H9">
        <v>2.84932463714734</v>
      </c>
    </row>
    <row r="10" spans="2:17" x14ac:dyDescent="0.35">
      <c r="B10">
        <v>9</v>
      </c>
      <c r="C10">
        <v>2050</v>
      </c>
      <c r="D10" t="s">
        <v>25</v>
      </c>
      <c r="E10" t="s">
        <v>28</v>
      </c>
      <c r="F10">
        <v>9741937.2161946595</v>
      </c>
      <c r="G10">
        <f>F10/1000000</f>
        <v>9.7419372161946587</v>
      </c>
      <c r="H10">
        <v>9.7419372161946587</v>
      </c>
    </row>
    <row r="11" spans="2:17" x14ac:dyDescent="0.35">
      <c r="B11">
        <v>14</v>
      </c>
      <c r="C11">
        <v>2050</v>
      </c>
      <c r="D11" t="s">
        <v>26</v>
      </c>
      <c r="E11" t="s">
        <v>28</v>
      </c>
      <c r="F11">
        <v>7547798.7919968702</v>
      </c>
      <c r="G11">
        <f>F11/1000000</f>
        <v>7.5477987919968701</v>
      </c>
      <c r="H11">
        <v>7.5477987919968701</v>
      </c>
    </row>
    <row r="12" spans="2:17" x14ac:dyDescent="0.35">
      <c r="B12">
        <v>19</v>
      </c>
      <c r="C12">
        <v>2050</v>
      </c>
      <c r="D12" t="s">
        <v>27</v>
      </c>
      <c r="E12" t="s">
        <v>28</v>
      </c>
      <c r="F12">
        <v>2855465.0489228801</v>
      </c>
      <c r="G12">
        <f>F12/1000000</f>
        <v>2.8554650489228801</v>
      </c>
      <c r="H12">
        <v>2.8554650489228801</v>
      </c>
    </row>
    <row r="13" spans="2:17" x14ac:dyDescent="0.35">
      <c r="B13">
        <v>6</v>
      </c>
      <c r="C13">
        <v>2050</v>
      </c>
      <c r="D13" t="s">
        <v>23</v>
      </c>
      <c r="E13" t="s">
        <v>29</v>
      </c>
      <c r="F13">
        <v>2845504.7250692998</v>
      </c>
      <c r="G13">
        <f>F13/1000000</f>
        <v>2.8455047250692997</v>
      </c>
      <c r="H13">
        <v>2.8455047250692997</v>
      </c>
    </row>
    <row r="14" spans="2:17" x14ac:dyDescent="0.35">
      <c r="B14">
        <v>11</v>
      </c>
      <c r="C14">
        <v>2050</v>
      </c>
      <c r="D14" t="s">
        <v>25</v>
      </c>
      <c r="E14" t="s">
        <v>29</v>
      </c>
      <c r="F14">
        <v>9701098.5330731105</v>
      </c>
      <c r="G14">
        <f>F14/1000000</f>
        <v>9.701098533073111</v>
      </c>
      <c r="H14">
        <v>9.701098533073111</v>
      </c>
    </row>
    <row r="15" spans="2:17" x14ac:dyDescent="0.35">
      <c r="B15">
        <v>16</v>
      </c>
      <c r="C15">
        <v>2050</v>
      </c>
      <c r="D15" t="s">
        <v>26</v>
      </c>
      <c r="E15" t="s">
        <v>29</v>
      </c>
      <c r="F15">
        <v>7547473.8866909696</v>
      </c>
      <c r="G15">
        <f>F15/1000000</f>
        <v>7.5474738866909696</v>
      </c>
      <c r="H15">
        <v>7.5474738866909696</v>
      </c>
    </row>
    <row r="16" spans="2:17" x14ac:dyDescent="0.35">
      <c r="B16">
        <v>21</v>
      </c>
      <c r="C16">
        <v>2050</v>
      </c>
      <c r="D16" t="s">
        <v>27</v>
      </c>
      <c r="E16" t="s">
        <v>29</v>
      </c>
      <c r="F16">
        <v>2853840.0888033998</v>
      </c>
      <c r="G16">
        <f>F16/1000000</f>
        <v>2.8538400888033997</v>
      </c>
      <c r="H16">
        <v>2.8538400888033997</v>
      </c>
    </row>
    <row r="17" spans="2:8" x14ac:dyDescent="0.35">
      <c r="B17">
        <v>7</v>
      </c>
      <c r="C17">
        <v>2050</v>
      </c>
      <c r="D17" t="s">
        <v>23</v>
      </c>
      <c r="E17" t="s">
        <v>30</v>
      </c>
      <c r="F17">
        <v>2803223.5536368899</v>
      </c>
      <c r="G17">
        <f>F17/1000000</f>
        <v>2.8032235536368897</v>
      </c>
      <c r="H17">
        <v>2.8032235536368897</v>
      </c>
    </row>
    <row r="18" spans="2:8" x14ac:dyDescent="0.35">
      <c r="B18">
        <v>12</v>
      </c>
      <c r="C18">
        <v>2050</v>
      </c>
      <c r="D18" t="s">
        <v>25</v>
      </c>
      <c r="E18" t="s">
        <v>30</v>
      </c>
      <c r="F18">
        <v>10167865.4851573</v>
      </c>
      <c r="G18">
        <f>F18/1000000</f>
        <v>10.1678654851573</v>
      </c>
      <c r="H18">
        <v>10.1678654851573</v>
      </c>
    </row>
    <row r="19" spans="2:8" x14ac:dyDescent="0.35">
      <c r="B19">
        <v>17</v>
      </c>
      <c r="C19">
        <v>2050</v>
      </c>
      <c r="D19" t="s">
        <v>26</v>
      </c>
      <c r="E19" t="s">
        <v>30</v>
      </c>
      <c r="F19">
        <v>6794460.2859453904</v>
      </c>
      <c r="G19">
        <f>F19/1000000</f>
        <v>6.79446028594539</v>
      </c>
      <c r="H19">
        <v>6.79446028594539</v>
      </c>
    </row>
    <row r="20" spans="2:8" x14ac:dyDescent="0.35">
      <c r="B20">
        <v>22</v>
      </c>
      <c r="C20">
        <v>2050</v>
      </c>
      <c r="D20" t="s">
        <v>27</v>
      </c>
      <c r="E20" t="s">
        <v>30</v>
      </c>
      <c r="F20">
        <v>2636565.6443771701</v>
      </c>
      <c r="G20">
        <f>F20/1000000</f>
        <v>2.6365656443771703</v>
      </c>
      <c r="H20">
        <v>2.6365656443771703</v>
      </c>
    </row>
    <row r="21" spans="2:8" x14ac:dyDescent="0.35">
      <c r="B21">
        <v>8</v>
      </c>
      <c r="C21">
        <v>2050</v>
      </c>
      <c r="D21" t="s">
        <v>23</v>
      </c>
      <c r="E21" t="s">
        <v>31</v>
      </c>
      <c r="F21">
        <v>2518460.1474196599</v>
      </c>
      <c r="G21">
        <f>F21/1000000</f>
        <v>2.5184601474196597</v>
      </c>
      <c r="H21">
        <v>2.5184601474196597</v>
      </c>
    </row>
    <row r="22" spans="2:8" x14ac:dyDescent="0.35">
      <c r="B22">
        <v>13</v>
      </c>
      <c r="C22">
        <v>2050</v>
      </c>
      <c r="D22" t="s">
        <v>25</v>
      </c>
      <c r="E22" t="s">
        <v>31</v>
      </c>
      <c r="F22">
        <v>8893160.0978902001</v>
      </c>
      <c r="G22">
        <f>F22/1000000</f>
        <v>8.8931600978902008</v>
      </c>
      <c r="H22">
        <v>8.8931600978902008</v>
      </c>
    </row>
    <row r="23" spans="2:8" x14ac:dyDescent="0.35">
      <c r="B23">
        <v>18</v>
      </c>
      <c r="C23">
        <v>2050</v>
      </c>
      <c r="D23" t="s">
        <v>26</v>
      </c>
      <c r="E23" t="s">
        <v>31</v>
      </c>
      <c r="F23">
        <v>7547473.8866909696</v>
      </c>
      <c r="G23">
        <f>F23/1000000</f>
        <v>7.5474738866909696</v>
      </c>
      <c r="H23">
        <v>7.5474738866909696</v>
      </c>
    </row>
    <row r="24" spans="2:8" x14ac:dyDescent="0.35">
      <c r="B24">
        <v>23</v>
      </c>
      <c r="C24">
        <v>2050</v>
      </c>
      <c r="D24" t="s">
        <v>27</v>
      </c>
      <c r="E24" t="s">
        <v>31</v>
      </c>
      <c r="F24">
        <v>2442392.0536495098</v>
      </c>
      <c r="G24">
        <f>F24/1000000</f>
        <v>2.4423920536495096</v>
      </c>
      <c r="H24">
        <v>2.4423920536495096</v>
      </c>
    </row>
  </sheetData>
  <sortState xmlns:xlrd2="http://schemas.microsoft.com/office/spreadsheetml/2017/richdata2" ref="B1:H24">
    <sortCondition ref="E2:E24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Gaur, Ankita Singh</dc:creator>
  <cp:lastModifiedBy>Gaur, Ankita Singh</cp:lastModifiedBy>
  <dcterms:created xsi:type="dcterms:W3CDTF">2015-06-05T18:17:20Z</dcterms:created>
  <dcterms:modified xsi:type="dcterms:W3CDTF">2025-08-24T01:03:25Z</dcterms:modified>
</cp:coreProperties>
</file>